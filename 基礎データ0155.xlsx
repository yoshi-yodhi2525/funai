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chida_r\Desktop\技術計算2023.10\見積作成\"/>
    </mc:Choice>
  </mc:AlternateContent>
  <xr:revisionPtr revIDLastSave="0" documentId="8_{4482D03C-02F1-49A5-8315-9070182AFBA9}" xr6:coauthVersionLast="47" xr6:coauthVersionMax="47" xr10:uidLastSave="{00000000-0000-0000-0000-000000000000}"/>
  <bookViews>
    <workbookView xWindow="1560" yWindow="1560" windowWidth="21600" windowHeight="13455" xr2:uid="{00000000-000D-0000-FFFF-FFFF00000000}"/>
  </bookViews>
  <sheets>
    <sheet name="Sheet1" sheetId="1" r:id="rId1"/>
    <sheet name="項目表" sheetId="22252" r:id="rId2"/>
    <sheet name="機器表" sheetId="24" r:id="rId3"/>
    <sheet name="電材表" sheetId="16" r:id="rId4"/>
    <sheet name="管材表" sheetId="22254" r:id="rId5"/>
    <sheet name="標準項" sheetId="5" r:id="rId6"/>
    <sheet name="MFG登録価格表(作業中)" sheetId="22253" state="hidden" r:id="rId7"/>
  </sheets>
  <definedNames>
    <definedName name="_xlnm._FilterDatabase" localSheetId="5" hidden="1">標準項!$A$2:$BU$59</definedName>
    <definedName name="_xlnm.Print_Area" localSheetId="6">'MFG登録価格表(作業中)'!$L$2:$R$402</definedName>
    <definedName name="_xlnm.Print_Area" localSheetId="0">Sheet1!$A$1:$H$60</definedName>
    <definedName name="_xlnm.Print_Area" localSheetId="2">機器表!$DT$2:$DY$47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Y64" i="24" l="1"/>
  <c r="GY63" i="24"/>
  <c r="GY62" i="24"/>
  <c r="GY61" i="24"/>
  <c r="GY60" i="24"/>
  <c r="GY59" i="24"/>
  <c r="GY58" i="24"/>
  <c r="GY57" i="24"/>
  <c r="BS64" i="24"/>
  <c r="BS63" i="24"/>
  <c r="BS62" i="24"/>
  <c r="BS61" i="24"/>
  <c r="BS60" i="24"/>
  <c r="BS59" i="24"/>
  <c r="BS58" i="24"/>
  <c r="BS57" i="24"/>
  <c r="BS19" i="24"/>
  <c r="BS18" i="24"/>
  <c r="BS17" i="24"/>
  <c r="BS16" i="24"/>
  <c r="BS15" i="24"/>
  <c r="BS14" i="24"/>
  <c r="BS13" i="24"/>
  <c r="BS12" i="24"/>
  <c r="BS10" i="24"/>
  <c r="BS9" i="24"/>
  <c r="BS8" i="24"/>
  <c r="BS7" i="24"/>
  <c r="BS6" i="24"/>
  <c r="BS5" i="24"/>
  <c r="BS4" i="24"/>
  <c r="BS3" i="24"/>
  <c r="GY4" i="24"/>
  <c r="GY5" i="24"/>
  <c r="GY6" i="24"/>
  <c r="GY7" i="24"/>
  <c r="GY8" i="24"/>
  <c r="GY9" i="24"/>
  <c r="GY10" i="24"/>
  <c r="GY3" i="24"/>
  <c r="GY19" i="24"/>
  <c r="GY18" i="24"/>
  <c r="GY17" i="24"/>
  <c r="GY16" i="24"/>
  <c r="GY15" i="24"/>
  <c r="GY14" i="24"/>
  <c r="GY13" i="24"/>
  <c r="GY12" i="24"/>
  <c r="EM28" i="22254"/>
  <c r="EM29" i="22254"/>
  <c r="EM30" i="22254"/>
  <c r="EM31" i="22254"/>
  <c r="EM32" i="22254"/>
  <c r="EM27" i="22254"/>
  <c r="BS21" i="24"/>
  <c r="BS22" i="24"/>
  <c r="BS23" i="24"/>
  <c r="BS24" i="24"/>
  <c r="BS25" i="24"/>
  <c r="BS26" i="24"/>
  <c r="BS27" i="24"/>
  <c r="BS28" i="24"/>
  <c r="BS30" i="24"/>
  <c r="BS31" i="24"/>
  <c r="BS32" i="24"/>
  <c r="BS33" i="24"/>
  <c r="BS34" i="24"/>
  <c r="BS35" i="24"/>
  <c r="BS36" i="24"/>
  <c r="BS37" i="24"/>
  <c r="BS39" i="24"/>
  <c r="BS40" i="24"/>
  <c r="BS41" i="24"/>
  <c r="BS42" i="24"/>
  <c r="BS43" i="24"/>
  <c r="BS44" i="24"/>
  <c r="BS45" i="24"/>
  <c r="BS46" i="24"/>
  <c r="BS48" i="24"/>
  <c r="BS49" i="24"/>
  <c r="BS50" i="24"/>
  <c r="BS51" i="24"/>
  <c r="BS52" i="24"/>
  <c r="BS53" i="24"/>
  <c r="BS54" i="24"/>
  <c r="BS55" i="24"/>
  <c r="I20" i="5"/>
  <c r="H27" i="5"/>
  <c r="H3" i="5"/>
  <c r="I3" i="5"/>
  <c r="BS66" i="24"/>
  <c r="BS67" i="24"/>
  <c r="BS68" i="24"/>
  <c r="BS69" i="24"/>
  <c r="BS70" i="24"/>
  <c r="BS71" i="24"/>
  <c r="BS72" i="24"/>
  <c r="BS73" i="24"/>
  <c r="I193" i="5"/>
  <c r="H193" i="5"/>
  <c r="I161" i="5"/>
  <c r="H161" i="5"/>
  <c r="I129" i="5"/>
  <c r="H129" i="5"/>
  <c r="I99" i="5"/>
  <c r="H99" i="5"/>
  <c r="I71" i="5"/>
  <c r="H71" i="5"/>
  <c r="I44" i="5"/>
  <c r="H44" i="5"/>
  <c r="GY22" i="24"/>
  <c r="GY23" i="24"/>
  <c r="GY24" i="24"/>
  <c r="GY25" i="24"/>
  <c r="GY26" i="24"/>
  <c r="GY27" i="24"/>
  <c r="GY28" i="24"/>
  <c r="GY30" i="24"/>
  <c r="GY31" i="24"/>
  <c r="GY32" i="24"/>
  <c r="GY33" i="24"/>
  <c r="GY34" i="24"/>
  <c r="GY35" i="24"/>
  <c r="GY36" i="24"/>
  <c r="GY37" i="24"/>
  <c r="GY39" i="24"/>
  <c r="GY40" i="24"/>
  <c r="GY41" i="24"/>
  <c r="GY42" i="24"/>
  <c r="GY43" i="24"/>
  <c r="GY44" i="24"/>
  <c r="GY45" i="24"/>
  <c r="GY46" i="24"/>
  <c r="GY48" i="24"/>
  <c r="GY49" i="24"/>
  <c r="GY50" i="24"/>
  <c r="GY51" i="24"/>
  <c r="GY52" i="24"/>
  <c r="GY53" i="24"/>
  <c r="GY54" i="24"/>
  <c r="GY55" i="24"/>
  <c r="GY66" i="24"/>
  <c r="GY67" i="24"/>
  <c r="GY68" i="24"/>
  <c r="GY69" i="24"/>
  <c r="GY70" i="24"/>
  <c r="GY71" i="24"/>
  <c r="GY72" i="24"/>
  <c r="GY73" i="24"/>
  <c r="GY21" i="24"/>
  <c r="DP13" i="24" l="1"/>
  <c r="DP14" i="24"/>
  <c r="DP15" i="24"/>
  <c r="DP16" i="24"/>
  <c r="DP17" i="24"/>
  <c r="DP18" i="24"/>
  <c r="DP12" i="24"/>
  <c r="DP5" i="24"/>
  <c r="DP6" i="24"/>
  <c r="DP7" i="24"/>
  <c r="DP8" i="24"/>
  <c r="DP9" i="24"/>
  <c r="DP10" i="24"/>
  <c r="DP4" i="24"/>
  <c r="CZ5" i="24"/>
  <c r="CZ6" i="24"/>
  <c r="CZ7" i="24"/>
  <c r="CZ9" i="24"/>
  <c r="CZ10" i="24"/>
  <c r="CZ11" i="24"/>
  <c r="CZ12" i="24"/>
  <c r="CZ13" i="24"/>
  <c r="CZ15" i="24"/>
  <c r="CZ16" i="24"/>
  <c r="CZ17" i="24"/>
  <c r="CZ18" i="24"/>
  <c r="CZ19" i="24"/>
  <c r="CZ21" i="24"/>
  <c r="CZ22" i="24"/>
  <c r="CZ23" i="24"/>
  <c r="CZ24" i="24"/>
  <c r="CZ25" i="24"/>
  <c r="CZ27" i="24"/>
  <c r="CZ28" i="24"/>
  <c r="CZ29" i="24"/>
  <c r="CZ30" i="24"/>
  <c r="CZ31" i="24"/>
  <c r="CZ32" i="24"/>
  <c r="CZ34" i="24"/>
  <c r="CZ36" i="24"/>
  <c r="CZ37" i="24"/>
  <c r="CZ38" i="24"/>
  <c r="CZ39" i="24"/>
  <c r="CZ41" i="24"/>
  <c r="CZ42" i="24"/>
  <c r="CZ43" i="24"/>
  <c r="CZ44" i="24"/>
  <c r="CZ45" i="24"/>
  <c r="CZ47" i="24"/>
  <c r="CZ48" i="24"/>
  <c r="CZ49" i="24"/>
  <c r="CZ50" i="24"/>
  <c r="CZ51" i="24"/>
  <c r="CZ53" i="24"/>
  <c r="CZ54" i="24"/>
  <c r="CZ55" i="24"/>
  <c r="CZ56" i="24"/>
  <c r="CZ57" i="24"/>
  <c r="CZ59" i="24"/>
  <c r="CZ60" i="24"/>
  <c r="CZ61" i="24"/>
  <c r="CZ62" i="24"/>
  <c r="CZ63" i="24"/>
  <c r="CZ3" i="24"/>
  <c r="BO44" i="5"/>
  <c r="BO43" i="5"/>
  <c r="BO42" i="5"/>
  <c r="BO41" i="5"/>
  <c r="BO26" i="5"/>
  <c r="BO25" i="5"/>
  <c r="BO24" i="5"/>
  <c r="BO23" i="5"/>
  <c r="BO8" i="5"/>
  <c r="BO7" i="5"/>
  <c r="BO6" i="5"/>
  <c r="BO5" i="5"/>
  <c r="N5" i="5" l="1"/>
  <c r="AB102" i="5"/>
  <c r="AA102" i="5"/>
  <c r="Z102" i="5"/>
  <c r="Y102" i="5"/>
  <c r="AB83" i="5"/>
  <c r="AA83" i="5"/>
  <c r="Z83" i="5"/>
  <c r="Y83" i="5"/>
  <c r="AB61" i="5"/>
  <c r="AA61" i="5"/>
  <c r="Z61" i="5"/>
  <c r="Y61" i="5"/>
  <c r="AB38" i="5"/>
  <c r="AA38" i="5"/>
  <c r="Z38" i="5"/>
  <c r="Y38" i="5"/>
  <c r="AB16" i="5"/>
  <c r="AA16" i="5"/>
  <c r="Z16" i="5"/>
  <c r="Y16" i="5"/>
  <c r="S123" i="5"/>
  <c r="R123" i="5"/>
  <c r="Q123" i="5"/>
  <c r="P123" i="5"/>
  <c r="S103" i="5"/>
  <c r="R103" i="5"/>
  <c r="Q103" i="5"/>
  <c r="P103" i="5"/>
  <c r="S84" i="5"/>
  <c r="R84" i="5"/>
  <c r="Q84" i="5"/>
  <c r="P84" i="5"/>
  <c r="S62" i="5"/>
  <c r="R62" i="5"/>
  <c r="Q62" i="5"/>
  <c r="P62" i="5"/>
  <c r="S39" i="5"/>
  <c r="R39" i="5"/>
  <c r="Q39" i="5"/>
  <c r="P39" i="5"/>
  <c r="S17" i="5"/>
  <c r="R17" i="5"/>
  <c r="Q17" i="5"/>
  <c r="P17" i="5"/>
  <c r="J177" i="5"/>
  <c r="I177" i="5"/>
  <c r="H177" i="5"/>
  <c r="G177" i="5"/>
  <c r="E177" i="5"/>
  <c r="J145" i="5"/>
  <c r="J113" i="5"/>
  <c r="I145" i="5"/>
  <c r="I113" i="5"/>
  <c r="H145" i="5"/>
  <c r="H113" i="5"/>
  <c r="G145" i="5"/>
  <c r="G113" i="5"/>
  <c r="E145" i="5"/>
  <c r="E113" i="5"/>
  <c r="AP104" i="5" l="1"/>
  <c r="AP84" i="5"/>
  <c r="AP67" i="5"/>
  <c r="AP56" i="5"/>
  <c r="H20" i="5"/>
  <c r="H46" i="5"/>
  <c r="AS105" i="5"/>
  <c r="AS104" i="5"/>
  <c r="AS85" i="5"/>
  <c r="AS84" i="5"/>
  <c r="AS68" i="5"/>
  <c r="AS67" i="5"/>
  <c r="AS56" i="5"/>
  <c r="EH36" i="24"/>
  <c r="EH37" i="24"/>
  <c r="EH38" i="24"/>
  <c r="EH35" i="24"/>
  <c r="AR57" i="5" l="1"/>
  <c r="AQ57" i="5"/>
  <c r="BC56" i="22254"/>
  <c r="BC55" i="22254"/>
  <c r="BC54" i="22254"/>
  <c r="BC53" i="22254"/>
  <c r="BC52" i="22254"/>
  <c r="BC51" i="22254"/>
  <c r="BC50" i="22254"/>
  <c r="BC49" i="22254"/>
  <c r="BC47" i="22254"/>
  <c r="BC46" i="22254"/>
  <c r="BC45" i="22254"/>
  <c r="BC44" i="22254"/>
  <c r="BC43" i="22254"/>
  <c r="BC42" i="22254"/>
  <c r="BC41" i="22254"/>
  <c r="BC40" i="22254"/>
  <c r="EM11" i="22254"/>
  <c r="EM10" i="22254"/>
  <c r="EM9" i="22254"/>
  <c r="EM8" i="22254"/>
  <c r="EM7" i="22254"/>
  <c r="EM6" i="22254"/>
  <c r="EM5" i="22254"/>
  <c r="EM4" i="22254"/>
  <c r="EM3" i="22254"/>
  <c r="EU14" i="22254" l="1"/>
  <c r="FD55" i="24" l="1"/>
  <c r="FD54" i="24"/>
  <c r="FD53" i="24"/>
  <c r="FD52" i="24"/>
  <c r="FD51" i="24"/>
  <c r="FD50" i="24"/>
  <c r="FD49" i="24"/>
  <c r="FD48" i="24"/>
  <c r="FD47" i="24"/>
  <c r="FD46" i="24"/>
  <c r="FD45" i="24"/>
  <c r="FD44" i="24"/>
  <c r="FD43" i="24"/>
  <c r="FD42" i="24"/>
  <c r="FD41" i="24"/>
  <c r="FD40" i="24"/>
  <c r="FD39" i="24"/>
  <c r="FD38" i="24"/>
  <c r="FD37" i="24"/>
  <c r="FD36" i="24"/>
  <c r="FD35" i="24"/>
  <c r="FD34" i="24"/>
  <c r="FD33" i="24"/>
  <c r="FD32" i="24"/>
  <c r="FD31" i="24"/>
  <c r="FD30" i="24"/>
  <c r="FD29" i="24"/>
  <c r="FD28" i="24"/>
  <c r="FD27" i="24"/>
  <c r="FD26" i="24"/>
  <c r="FD25" i="24"/>
  <c r="FD24" i="24"/>
  <c r="FD23" i="24"/>
  <c r="FD22" i="24"/>
  <c r="FD21" i="24"/>
  <c r="FD20" i="24"/>
  <c r="FD19" i="24"/>
  <c r="FD18" i="24"/>
  <c r="FD17" i="24"/>
  <c r="FD16" i="24"/>
  <c r="FD15" i="24"/>
  <c r="FD14" i="24"/>
  <c r="FD13" i="24"/>
  <c r="FD12" i="24"/>
  <c r="FD11" i="24"/>
  <c r="FD10" i="24"/>
  <c r="FD9" i="24"/>
  <c r="FD8" i="24"/>
  <c r="FD7" i="24"/>
  <c r="FD6" i="24"/>
  <c r="FD5" i="24"/>
  <c r="FD4" i="24"/>
  <c r="FD3" i="24"/>
  <c r="EE37" i="22254"/>
  <c r="EE36" i="22254"/>
  <c r="EE35" i="22254"/>
  <c r="EE34" i="22254"/>
  <c r="EE33" i="22254"/>
  <c r="EE32" i="22254"/>
  <c r="EE31" i="22254"/>
  <c r="EE30" i="22254"/>
  <c r="EE29" i="22254"/>
  <c r="EE28" i="22254"/>
  <c r="EE27" i="22254"/>
  <c r="EE26" i="22254"/>
  <c r="EE25" i="22254"/>
  <c r="EE24" i="22254"/>
  <c r="EE23" i="22254"/>
  <c r="EE22" i="22254"/>
  <c r="EE21" i="22254"/>
  <c r="EE20" i="22254"/>
  <c r="EE19" i="22254"/>
  <c r="EE18" i="22254"/>
  <c r="EE17" i="22254"/>
  <c r="EE16" i="22254"/>
  <c r="EE14" i="22254"/>
  <c r="EE13" i="22254"/>
  <c r="EE12" i="22254"/>
  <c r="EE11" i="22254"/>
  <c r="EE10" i="22254"/>
  <c r="EE9" i="22254"/>
  <c r="EE8" i="22254"/>
  <c r="EE7" i="22254"/>
  <c r="EE6" i="22254"/>
  <c r="EE5" i="22254"/>
  <c r="EE4" i="22254"/>
  <c r="EE3" i="22254"/>
  <c r="DW48" i="22254"/>
  <c r="DW47" i="22254"/>
  <c r="DW46" i="22254"/>
  <c r="DW45" i="22254"/>
  <c r="DW44" i="22254"/>
  <c r="DW43" i="22254"/>
  <c r="DW42" i="22254"/>
  <c r="DW41" i="22254"/>
  <c r="DW40" i="22254"/>
  <c r="DW39" i="22254"/>
  <c r="EU13" i="22254"/>
  <c r="EU12" i="22254"/>
  <c r="EU11" i="22254"/>
  <c r="EM45" i="22254"/>
  <c r="EM44" i="22254"/>
  <c r="EM43" i="22254"/>
  <c r="EM42" i="22254"/>
  <c r="EM41" i="22254"/>
  <c r="EM40" i="22254"/>
  <c r="EM39" i="22254"/>
  <c r="EM38" i="22254"/>
  <c r="EM37" i="22254"/>
  <c r="EM36" i="22254"/>
  <c r="EM35" i="22254"/>
  <c r="EM34" i="22254"/>
  <c r="EM33" i="22254"/>
  <c r="EM24" i="22254"/>
  <c r="EM26" i="22254"/>
  <c r="EM25" i="22254"/>
  <c r="EM23" i="22254" l="1"/>
  <c r="EM22" i="22254"/>
  <c r="EM21" i="22254"/>
  <c r="EM20" i="22254"/>
  <c r="EM19" i="22254"/>
  <c r="EM18" i="22254"/>
  <c r="EM17" i="22254"/>
  <c r="EM16" i="22254"/>
  <c r="EM15" i="22254"/>
  <c r="EM14" i="22254"/>
  <c r="EM13" i="22254"/>
  <c r="EM12" i="22254"/>
  <c r="AR56" i="5"/>
  <c r="AQ56" i="5"/>
  <c r="AR104" i="5"/>
  <c r="AQ104" i="5"/>
  <c r="AR85" i="5"/>
  <c r="AR84" i="5"/>
  <c r="AQ84" i="5"/>
  <c r="AR67" i="5"/>
  <c r="AQ67" i="5"/>
  <c r="AR27" i="5"/>
  <c r="AQ27" i="5"/>
  <c r="AR15" i="5"/>
  <c r="AQ15" i="5"/>
  <c r="AI227" i="5"/>
  <c r="AH227" i="5"/>
  <c r="AQ44" i="5"/>
  <c r="AP19" i="5"/>
  <c r="AS33" i="5"/>
  <c r="AP33" i="5"/>
  <c r="H23" i="16"/>
  <c r="I23" i="16"/>
  <c r="J23" i="16"/>
  <c r="K23" i="16"/>
  <c r="L23" i="16"/>
  <c r="N23" i="16"/>
  <c r="I22" i="16"/>
  <c r="J22" i="16"/>
  <c r="K22" i="16"/>
  <c r="L22" i="16"/>
  <c r="M22" i="16"/>
  <c r="N22" i="16"/>
  <c r="H22" i="16"/>
  <c r="I21" i="16"/>
  <c r="J21" i="16"/>
  <c r="K21" i="16"/>
  <c r="L21" i="16"/>
  <c r="M21" i="16"/>
  <c r="N21" i="16"/>
  <c r="H21" i="16"/>
  <c r="C67" i="5"/>
  <c r="C68" i="5" s="1"/>
  <c r="C69" i="5" s="1"/>
  <c r="C61" i="5"/>
  <c r="C62" i="5" s="1"/>
  <c r="C63" i="5" s="1"/>
  <c r="C64" i="5" s="1"/>
  <c r="C47" i="5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39" i="5"/>
  <c r="C40" i="5" s="1"/>
  <c r="C34" i="5"/>
  <c r="C35" i="5" s="1"/>
  <c r="C36" i="5" s="1"/>
  <c r="C25" i="5"/>
  <c r="C26" i="5" s="1"/>
  <c r="C27" i="5" s="1"/>
  <c r="C28" i="5" s="1"/>
  <c r="C29" i="5" s="1"/>
  <c r="C30" i="5" s="1"/>
  <c r="C31" i="5" s="1"/>
  <c r="C13" i="5"/>
  <c r="C14" i="5" s="1"/>
  <c r="C15" i="5" s="1"/>
  <c r="C16" i="5" s="1"/>
  <c r="C17" i="5" s="1"/>
  <c r="C18" i="5" s="1"/>
  <c r="C19" i="5" s="1"/>
  <c r="C20" i="5" s="1"/>
  <c r="C21" i="5" s="1"/>
  <c r="C22" i="5" s="1"/>
  <c r="C5" i="5"/>
  <c r="C6" i="5" s="1"/>
  <c r="C7" i="5" s="1"/>
  <c r="C8" i="5" s="1"/>
  <c r="C9" i="5" s="1"/>
  <c r="C10" i="5" s="1"/>
  <c r="AI231" i="5"/>
  <c r="AH231" i="5"/>
  <c r="AI225" i="5"/>
  <c r="AH225" i="5"/>
  <c r="AI223" i="5"/>
  <c r="AH223" i="5"/>
  <c r="AI222" i="5"/>
  <c r="AH222" i="5"/>
  <c r="AI215" i="5"/>
  <c r="AH215" i="5"/>
  <c r="AI209" i="5"/>
  <c r="AH209" i="5"/>
  <c r="AI207" i="5"/>
  <c r="AH207" i="5"/>
  <c r="AI206" i="5"/>
  <c r="AH206" i="5"/>
  <c r="AI199" i="5"/>
  <c r="AH199" i="5"/>
  <c r="AI193" i="5"/>
  <c r="AH193" i="5"/>
  <c r="AI191" i="5"/>
  <c r="AH191" i="5"/>
  <c r="AI190" i="5"/>
  <c r="AH190" i="5"/>
  <c r="AJ224" i="5"/>
  <c r="AI224" i="5"/>
  <c r="AH224" i="5"/>
  <c r="AI221" i="5"/>
  <c r="AH221" i="5"/>
  <c r="AJ208" i="5"/>
  <c r="AI208" i="5"/>
  <c r="AH208" i="5"/>
  <c r="AI205" i="5"/>
  <c r="AH205" i="5"/>
  <c r="AJ192" i="5"/>
  <c r="AI192" i="5"/>
  <c r="AH192" i="5"/>
  <c r="AI189" i="5"/>
  <c r="AH189" i="5"/>
  <c r="AJ229" i="5"/>
  <c r="AI229" i="5"/>
  <c r="AH229" i="5"/>
  <c r="AJ228" i="5"/>
  <c r="AI228" i="5"/>
  <c r="AH228" i="5"/>
  <c r="AJ227" i="5"/>
  <c r="AJ226" i="5"/>
  <c r="AI226" i="5"/>
  <c r="AH226" i="5"/>
  <c r="AJ213" i="5"/>
  <c r="AI213" i="5"/>
  <c r="AH213" i="5"/>
  <c r="AJ212" i="5"/>
  <c r="AI212" i="5"/>
  <c r="AH212" i="5"/>
  <c r="AJ211" i="5"/>
  <c r="AI211" i="5"/>
  <c r="AH211" i="5"/>
  <c r="AJ210" i="5"/>
  <c r="AI210" i="5"/>
  <c r="AH210" i="5"/>
  <c r="AJ197" i="5"/>
  <c r="AI197" i="5"/>
  <c r="AH197" i="5"/>
  <c r="AJ196" i="5"/>
  <c r="AI196" i="5"/>
  <c r="AH196" i="5"/>
  <c r="AJ195" i="5"/>
  <c r="AI195" i="5"/>
  <c r="AH195" i="5"/>
  <c r="AJ194" i="5"/>
  <c r="AI194" i="5"/>
  <c r="AH194" i="5"/>
  <c r="AS111" i="5"/>
  <c r="AR111" i="5"/>
  <c r="AQ111" i="5"/>
  <c r="AP111" i="5"/>
  <c r="AS109" i="5"/>
  <c r="AR109" i="5"/>
  <c r="AQ109" i="5"/>
  <c r="AP109" i="5"/>
  <c r="AS108" i="5"/>
  <c r="AR108" i="5"/>
  <c r="AQ108" i="5"/>
  <c r="AP108" i="5"/>
  <c r="AN108" i="5"/>
  <c r="AS107" i="5"/>
  <c r="AR107" i="5"/>
  <c r="AQ107" i="5"/>
  <c r="AS106" i="5"/>
  <c r="AR106" i="5"/>
  <c r="AQ106" i="5"/>
  <c r="AP106" i="5"/>
  <c r="AR105" i="5"/>
  <c r="AQ105" i="5"/>
  <c r="AP105" i="5"/>
  <c r="AS91" i="5"/>
  <c r="AR91" i="5"/>
  <c r="AQ91" i="5"/>
  <c r="AP91" i="5"/>
  <c r="AS89" i="5"/>
  <c r="AR89" i="5"/>
  <c r="AQ89" i="5"/>
  <c r="AP89" i="5"/>
  <c r="AS88" i="5"/>
  <c r="AR88" i="5"/>
  <c r="AQ88" i="5"/>
  <c r="AP88" i="5"/>
  <c r="AN88" i="5"/>
  <c r="AS87" i="5"/>
  <c r="AR87" i="5"/>
  <c r="AQ87" i="5"/>
  <c r="AS86" i="5"/>
  <c r="AR86" i="5"/>
  <c r="AQ86" i="5"/>
  <c r="AP86" i="5"/>
  <c r="AQ85" i="5"/>
  <c r="AP85" i="5"/>
  <c r="AS72" i="5"/>
  <c r="AR72" i="5"/>
  <c r="AQ72" i="5"/>
  <c r="AP72" i="5"/>
  <c r="AS71" i="5"/>
  <c r="AR71" i="5"/>
  <c r="AQ71" i="5"/>
  <c r="AP71" i="5"/>
  <c r="AN71" i="5"/>
  <c r="AS70" i="5"/>
  <c r="AR70" i="5"/>
  <c r="AQ70" i="5"/>
  <c r="AS69" i="5"/>
  <c r="AR69" i="5"/>
  <c r="AQ69" i="5"/>
  <c r="AP69" i="5"/>
  <c r="AR68" i="5"/>
  <c r="AQ68" i="5"/>
  <c r="AP68" i="5"/>
  <c r="AS46" i="5"/>
  <c r="AR46" i="5"/>
  <c r="AQ46" i="5"/>
  <c r="AP46" i="5"/>
  <c r="AS44" i="5"/>
  <c r="AR44" i="5"/>
  <c r="AP44" i="5"/>
  <c r="AR33" i="5"/>
  <c r="AQ33" i="5"/>
  <c r="AS31" i="5"/>
  <c r="AR31" i="5"/>
  <c r="AQ31" i="5"/>
  <c r="AP31" i="5"/>
  <c r="AS26" i="5"/>
  <c r="AR26" i="5"/>
  <c r="AQ26" i="5"/>
  <c r="AP26" i="5"/>
  <c r="AS19" i="5"/>
  <c r="AR19" i="5"/>
  <c r="AQ19" i="5"/>
  <c r="AS11" i="5"/>
  <c r="AR11" i="5"/>
  <c r="AQ11" i="5"/>
  <c r="AP11" i="5"/>
  <c r="AS3" i="5"/>
  <c r="AR3" i="5"/>
  <c r="AQ3" i="5"/>
  <c r="AP3" i="5"/>
  <c r="J144" i="5" l="1"/>
  <c r="I144" i="5"/>
  <c r="H144" i="5"/>
  <c r="G144" i="5"/>
  <c r="E144" i="5"/>
  <c r="J112" i="5"/>
  <c r="I112" i="5"/>
  <c r="H112" i="5"/>
  <c r="G112" i="5"/>
  <c r="E112" i="5"/>
  <c r="J82" i="5"/>
  <c r="I82" i="5"/>
  <c r="H82" i="5"/>
  <c r="G82" i="5"/>
  <c r="E82" i="5"/>
  <c r="J55" i="5"/>
  <c r="I55" i="5"/>
  <c r="H55" i="5"/>
  <c r="G55" i="5"/>
  <c r="E55" i="5"/>
  <c r="J29" i="5"/>
  <c r="I29" i="5"/>
  <c r="H29" i="5"/>
  <c r="G29" i="5"/>
  <c r="E29" i="5"/>
  <c r="J5" i="5"/>
  <c r="I5" i="5"/>
  <c r="H5" i="5"/>
  <c r="G5" i="5"/>
  <c r="E5" i="5"/>
  <c r="R110" i="5"/>
  <c r="Q110" i="5"/>
  <c r="P110" i="5"/>
  <c r="N110" i="5"/>
  <c r="S91" i="5"/>
  <c r="R91" i="5"/>
  <c r="Q91" i="5"/>
  <c r="P91" i="5"/>
  <c r="N91" i="5"/>
  <c r="R72" i="5"/>
  <c r="Q72" i="5"/>
  <c r="P72" i="5"/>
  <c r="N72" i="5"/>
  <c r="S50" i="5"/>
  <c r="R50" i="5"/>
  <c r="Q50" i="5"/>
  <c r="P50" i="5"/>
  <c r="N50" i="5"/>
  <c r="S27" i="5"/>
  <c r="R27" i="5"/>
  <c r="Q27" i="5"/>
  <c r="P27" i="5"/>
  <c r="N27" i="5"/>
  <c r="S5" i="5"/>
  <c r="R5" i="5"/>
  <c r="Q5" i="5"/>
  <c r="P5" i="5"/>
  <c r="AB5" i="5"/>
  <c r="AA5" i="5"/>
  <c r="Z5" i="5"/>
  <c r="Y5" i="5"/>
  <c r="W5" i="5"/>
  <c r="AB91" i="5"/>
  <c r="AA91" i="5"/>
  <c r="Z91" i="5"/>
  <c r="Y91" i="5"/>
  <c r="W91" i="5"/>
  <c r="AB72" i="5"/>
  <c r="AA72" i="5"/>
  <c r="Z72" i="5"/>
  <c r="Y72" i="5"/>
  <c r="W72" i="5"/>
  <c r="AB50" i="5"/>
  <c r="AA50" i="5"/>
  <c r="Z50" i="5"/>
  <c r="Y50" i="5"/>
  <c r="W50" i="5"/>
  <c r="AB27" i="5"/>
  <c r="AA27" i="5"/>
  <c r="Z27" i="5"/>
  <c r="Y27" i="5"/>
  <c r="W27" i="5"/>
  <c r="BT44" i="5"/>
  <c r="BS44" i="5"/>
  <c r="BR44" i="5"/>
  <c r="BQ44" i="5"/>
  <c r="BT43" i="5"/>
  <c r="BS43" i="5"/>
  <c r="BR43" i="5"/>
  <c r="BQ43" i="5"/>
  <c r="BT42" i="5"/>
  <c r="BS42" i="5"/>
  <c r="BR42" i="5"/>
  <c r="BQ42" i="5"/>
  <c r="BT41" i="5"/>
  <c r="BS41" i="5"/>
  <c r="BR41" i="5"/>
  <c r="BQ41" i="5"/>
  <c r="BT7" i="5"/>
  <c r="BS7" i="5"/>
  <c r="BR7" i="5"/>
  <c r="BQ7" i="5"/>
  <c r="BT8" i="5"/>
  <c r="BS8" i="5"/>
  <c r="BR8" i="5"/>
  <c r="BQ8" i="5"/>
  <c r="BT26" i="5"/>
  <c r="BS26" i="5"/>
  <c r="BR26" i="5"/>
  <c r="BQ26" i="5"/>
  <c r="BT25" i="5"/>
  <c r="BS25" i="5"/>
  <c r="BR25" i="5"/>
  <c r="BQ25" i="5"/>
  <c r="BT24" i="5"/>
  <c r="BS24" i="5"/>
  <c r="BR24" i="5"/>
  <c r="BQ24" i="5"/>
  <c r="BT23" i="5"/>
  <c r="BS23" i="5"/>
  <c r="BR23" i="5"/>
  <c r="BQ23" i="5"/>
  <c r="BT6" i="5"/>
  <c r="BS6" i="5"/>
  <c r="BR6" i="5"/>
  <c r="BQ6" i="5"/>
  <c r="BS5" i="5"/>
  <c r="BR5" i="5"/>
  <c r="BQ5" i="5"/>
  <c r="BB85" i="5"/>
  <c r="BA85" i="5"/>
  <c r="AZ85" i="5"/>
  <c r="AY85" i="5"/>
  <c r="BA29" i="5"/>
  <c r="AZ29" i="5"/>
  <c r="AY29" i="5"/>
  <c r="BB102" i="5"/>
  <c r="BA102" i="5"/>
  <c r="AZ102" i="5"/>
  <c r="AY102" i="5"/>
  <c r="AW102" i="5"/>
  <c r="BB87" i="5"/>
  <c r="BA87" i="5"/>
  <c r="AZ87" i="5"/>
  <c r="AY87" i="5"/>
  <c r="AW87" i="5"/>
  <c r="BA125" i="5"/>
  <c r="AZ125" i="5"/>
  <c r="AY125" i="5"/>
  <c r="AW125" i="5"/>
  <c r="BA118" i="5"/>
  <c r="AZ118" i="5"/>
  <c r="AY118" i="5"/>
  <c r="AW118" i="5"/>
  <c r="BB72" i="5" l="1"/>
  <c r="BA72" i="5"/>
  <c r="AZ72" i="5"/>
  <c r="AY72" i="5"/>
  <c r="AW72" i="5"/>
  <c r="BB57" i="5"/>
  <c r="BA57" i="5"/>
  <c r="AZ57" i="5"/>
  <c r="AY57" i="5"/>
  <c r="AW57" i="5"/>
  <c r="BB44" i="5"/>
  <c r="BA44" i="5"/>
  <c r="AZ44" i="5"/>
  <c r="AY44" i="5"/>
  <c r="AW44" i="5"/>
  <c r="BB31" i="5"/>
  <c r="BB32" i="5"/>
  <c r="BA31" i="5"/>
  <c r="AZ31" i="5"/>
  <c r="AY31" i="5"/>
  <c r="AW31" i="5"/>
  <c r="BB18" i="5"/>
  <c r="BA18" i="5"/>
  <c r="AZ18" i="5"/>
  <c r="AY18" i="5"/>
  <c r="AW18" i="5"/>
  <c r="BB5" i="5"/>
  <c r="BA5" i="5"/>
  <c r="AZ5" i="5"/>
  <c r="AY5" i="5"/>
  <c r="AW5" i="5"/>
  <c r="BO33" i="5" l="1"/>
  <c r="BO15" i="5"/>
  <c r="AH45" i="5" l="1"/>
  <c r="AI45" i="5"/>
  <c r="AJ45" i="5"/>
  <c r="AG45" i="5"/>
  <c r="AH28" i="5"/>
  <c r="AI28" i="5"/>
  <c r="AJ28" i="5"/>
  <c r="AG28" i="5"/>
  <c r="BR13" i="5"/>
  <c r="BS13" i="5"/>
  <c r="BT13" i="5"/>
  <c r="BR14" i="5"/>
  <c r="BS14" i="5"/>
  <c r="BT14" i="5"/>
  <c r="BR15" i="5"/>
  <c r="BS15" i="5"/>
  <c r="BT15" i="5"/>
  <c r="BQ15" i="5"/>
  <c r="BQ14" i="5"/>
  <c r="BQ13" i="5"/>
  <c r="BR10" i="5"/>
  <c r="BS10" i="5"/>
  <c r="BT10" i="5"/>
  <c r="BU11" i="5" s="1"/>
  <c r="BQ10" i="5"/>
  <c r="BR32" i="5"/>
  <c r="BS32" i="5"/>
  <c r="BT32" i="5"/>
  <c r="BR33" i="5"/>
  <c r="BS33" i="5"/>
  <c r="BT33" i="5"/>
  <c r="BQ33" i="5"/>
  <c r="BQ32" i="5"/>
  <c r="BR31" i="5"/>
  <c r="BS31" i="5"/>
  <c r="BT31" i="5"/>
  <c r="BQ31" i="5"/>
  <c r="BR28" i="5"/>
  <c r="BS28" i="5"/>
  <c r="BT28" i="5"/>
  <c r="BU29" i="5" s="1"/>
  <c r="BR29" i="5" s="1"/>
  <c r="BQ28" i="5"/>
  <c r="BS34" i="5"/>
  <c r="BR34" i="5"/>
  <c r="BS16" i="5"/>
  <c r="BR16" i="5"/>
  <c r="BT51" i="5"/>
  <c r="BS51" i="5"/>
  <c r="BR51" i="5"/>
  <c r="BQ51" i="5"/>
  <c r="BR50" i="5"/>
  <c r="BS50" i="5"/>
  <c r="BT50" i="5"/>
  <c r="BQ50" i="5"/>
  <c r="BO51" i="5"/>
  <c r="BS52" i="5"/>
  <c r="BR52" i="5"/>
  <c r="BQ46" i="5"/>
  <c r="BR46" i="5"/>
  <c r="BS46" i="5"/>
  <c r="BT46" i="5"/>
  <c r="BU47" i="5" s="1"/>
  <c r="BS47" i="5" s="1"/>
  <c r="BQ49" i="5"/>
  <c r="BR49" i="5"/>
  <c r="BS49" i="5"/>
  <c r="BT49" i="5"/>
  <c r="BI128" i="5"/>
  <c r="BJ128" i="5"/>
  <c r="BK128" i="5"/>
  <c r="BI129" i="5"/>
  <c r="BJ129" i="5"/>
  <c r="BK129" i="5"/>
  <c r="BI130" i="5"/>
  <c r="BJ130" i="5"/>
  <c r="BK130" i="5"/>
  <c r="BH130" i="5"/>
  <c r="BH129" i="5"/>
  <c r="BH128" i="5"/>
  <c r="BQ3" i="5"/>
  <c r="BT3" i="5"/>
  <c r="BS3" i="5"/>
  <c r="BR3" i="5"/>
  <c r="BJ127" i="5"/>
  <c r="BI127" i="5"/>
  <c r="BK124" i="5"/>
  <c r="BJ124" i="5"/>
  <c r="BI124" i="5"/>
  <c r="BH124" i="5"/>
  <c r="BF124" i="5"/>
  <c r="BJ123" i="5"/>
  <c r="BI123" i="5"/>
  <c r="BK121" i="5"/>
  <c r="BJ121" i="5"/>
  <c r="BI121" i="5"/>
  <c r="BH121" i="5"/>
  <c r="BF121" i="5"/>
  <c r="BJ120" i="5"/>
  <c r="BI120" i="5"/>
  <c r="BK119" i="5"/>
  <c r="BJ119" i="5"/>
  <c r="BI119" i="5"/>
  <c r="BH119" i="5"/>
  <c r="BF119" i="5"/>
  <c r="BK118" i="5"/>
  <c r="BJ118" i="5"/>
  <c r="BI118" i="5"/>
  <c r="BI117" i="5"/>
  <c r="BH118" i="5"/>
  <c r="BF118" i="5"/>
  <c r="BK117" i="5"/>
  <c r="BJ117" i="5"/>
  <c r="BH117" i="5"/>
  <c r="BF117" i="5"/>
  <c r="BJ116" i="5"/>
  <c r="BI116" i="5"/>
  <c r="BK115" i="5"/>
  <c r="BJ115" i="5"/>
  <c r="BI115" i="5"/>
  <c r="BH115" i="5"/>
  <c r="BU48" i="5" l="1"/>
  <c r="BR48" i="5" s="1"/>
  <c r="BR47" i="5"/>
  <c r="BS29" i="5"/>
  <c r="BU30" i="5"/>
  <c r="BS11" i="5"/>
  <c r="BR11" i="5"/>
  <c r="BU12" i="5"/>
  <c r="BB123" i="5"/>
  <c r="BA123" i="5"/>
  <c r="AZ123" i="5"/>
  <c r="AY123" i="5"/>
  <c r="AW123" i="5"/>
  <c r="BA124" i="5"/>
  <c r="AZ124" i="5"/>
  <c r="AH183" i="5"/>
  <c r="AI183" i="5"/>
  <c r="AJ176" i="5"/>
  <c r="AH176" i="5"/>
  <c r="AG176" i="5"/>
  <c r="AE176" i="5"/>
  <c r="AE178" i="5"/>
  <c r="AE179" i="5"/>
  <c r="AE50" i="5"/>
  <c r="BS48" i="5" l="1"/>
  <c r="BS30" i="5"/>
  <c r="BR30" i="5"/>
  <c r="BS12" i="5"/>
  <c r="BR12" i="5"/>
  <c r="AJ51" i="5"/>
  <c r="AH51" i="5"/>
  <c r="AI51" i="5"/>
  <c r="AG51" i="5"/>
  <c r="AE51" i="5"/>
  <c r="AH49" i="5"/>
  <c r="AJ49" i="5"/>
  <c r="AG49" i="5"/>
  <c r="AE49" i="5"/>
  <c r="AH32" i="5" l="1"/>
  <c r="AJ32" i="5"/>
  <c r="AG32" i="5"/>
  <c r="AE32" i="5"/>
  <c r="AH35" i="5"/>
  <c r="AI35" i="5"/>
  <c r="AI176" i="5"/>
  <c r="AI17" i="5" l="1"/>
  <c r="AJ17" i="5"/>
  <c r="AG17" i="5"/>
  <c r="AH17" i="5"/>
  <c r="AE17" i="5"/>
  <c r="AE118" i="5"/>
  <c r="J182" i="5" l="1"/>
  <c r="I182" i="5"/>
  <c r="H182" i="5"/>
  <c r="E182" i="5"/>
  <c r="J150" i="5"/>
  <c r="I150" i="5"/>
  <c r="H150" i="5"/>
  <c r="E150" i="5"/>
  <c r="J118" i="5"/>
  <c r="I118" i="5"/>
  <c r="H118" i="5"/>
  <c r="G118" i="5"/>
  <c r="E118" i="5"/>
  <c r="S121" i="5" l="1"/>
  <c r="Q121" i="5"/>
  <c r="R121" i="5"/>
  <c r="P121" i="5"/>
  <c r="J191" i="5" l="1"/>
  <c r="AE8" i="5" l="1"/>
  <c r="I191" i="5" l="1"/>
  <c r="H191" i="5"/>
  <c r="E191" i="5"/>
  <c r="J159" i="5"/>
  <c r="I159" i="5"/>
  <c r="H159" i="5"/>
  <c r="E159" i="5"/>
  <c r="BJ105" i="5" l="1"/>
  <c r="BI105" i="5"/>
  <c r="BJ102" i="5"/>
  <c r="BI102" i="5"/>
  <c r="BI103" i="5"/>
  <c r="BJ89" i="5"/>
  <c r="BI89" i="5"/>
  <c r="BJ44" i="5"/>
  <c r="BI44" i="5"/>
  <c r="BJ53" i="5"/>
  <c r="BI53" i="5"/>
  <c r="BJ31" i="5"/>
  <c r="BI31" i="5"/>
  <c r="BI12" i="5"/>
  <c r="BJ12" i="5"/>
  <c r="BF69" i="5"/>
  <c r="BJ47" i="5"/>
  <c r="BI47" i="5"/>
  <c r="BJ45" i="5"/>
  <c r="BI45" i="5"/>
  <c r="BJ46" i="5"/>
  <c r="BI46" i="5"/>
  <c r="BJ43" i="5"/>
  <c r="BI43" i="5"/>
  <c r="BI50" i="5"/>
  <c r="BJ33" i="5"/>
  <c r="BI33" i="5"/>
  <c r="BI7" i="5"/>
  <c r="BI27" i="5"/>
  <c r="BJ27" i="5"/>
  <c r="BK27" i="5"/>
  <c r="BH27" i="5"/>
  <c r="BF27" i="5"/>
  <c r="BJ26" i="5"/>
  <c r="BI26" i="5"/>
  <c r="BJ25" i="5"/>
  <c r="BI25" i="5"/>
  <c r="BJ24" i="5"/>
  <c r="BI24" i="5"/>
  <c r="BI5" i="5"/>
  <c r="BJ23" i="5"/>
  <c r="BI23" i="5"/>
  <c r="BF50" i="5"/>
  <c r="BH50" i="5"/>
  <c r="BJ50" i="5"/>
  <c r="BK50" i="5"/>
  <c r="BF51" i="5"/>
  <c r="BK8" i="5"/>
  <c r="BJ8" i="5"/>
  <c r="BI8" i="5"/>
  <c r="BF8" i="5"/>
  <c r="BJ7" i="5"/>
  <c r="BJ6" i="5"/>
  <c r="BI6" i="5"/>
  <c r="BJ5" i="5"/>
  <c r="AZ10" i="5"/>
  <c r="BJ4" i="5"/>
  <c r="BI4" i="5"/>
  <c r="BI3" i="5"/>
  <c r="BJ3" i="5"/>
  <c r="AI53" i="5" l="1"/>
  <c r="AH53" i="5"/>
  <c r="AI52" i="5"/>
  <c r="AH52" i="5"/>
  <c r="AI36" i="5"/>
  <c r="AH36" i="5"/>
  <c r="BT39" i="5" l="1"/>
  <c r="BS39" i="5"/>
  <c r="BR39" i="5"/>
  <c r="BT21" i="5"/>
  <c r="BS21" i="5"/>
  <c r="BQ21" i="5"/>
  <c r="BR21" i="5"/>
  <c r="DX84" i="24" l="1"/>
  <c r="DX83" i="24"/>
  <c r="DX82" i="24"/>
  <c r="DX81" i="24"/>
  <c r="DX80" i="24"/>
  <c r="DX79" i="24"/>
  <c r="DX78" i="24"/>
  <c r="DX77" i="24"/>
  <c r="DX76" i="24"/>
  <c r="DX75" i="24"/>
  <c r="DX74" i="24"/>
  <c r="DX73" i="24"/>
  <c r="DX72" i="24"/>
  <c r="DX71" i="24"/>
  <c r="DX69" i="24"/>
  <c r="DX68" i="24"/>
  <c r="DX67" i="24"/>
  <c r="DX66" i="24"/>
  <c r="DX65" i="24"/>
  <c r="DX64" i="24"/>
  <c r="DX63" i="24"/>
  <c r="DX62" i="24"/>
  <c r="DX61" i="24"/>
  <c r="DX60" i="24"/>
  <c r="DX58" i="24"/>
  <c r="DX57" i="24"/>
  <c r="DX56" i="24"/>
  <c r="DX55" i="24"/>
  <c r="DX54" i="24"/>
  <c r="DX53" i="24"/>
  <c r="DX52" i="24"/>
  <c r="DX51" i="24"/>
  <c r="DX50" i="24"/>
  <c r="DX49" i="24"/>
  <c r="AI49" i="5" l="1"/>
  <c r="AI32" i="5"/>
  <c r="BH40" i="16" l="1"/>
  <c r="BH41" i="16"/>
  <c r="BH42" i="16"/>
  <c r="BH44" i="16"/>
  <c r="BH45" i="16"/>
  <c r="BH46" i="16"/>
  <c r="BH47" i="16"/>
  <c r="BH48" i="16"/>
  <c r="BH49" i="16"/>
  <c r="BH50" i="16"/>
  <c r="BH51" i="16"/>
  <c r="BH52" i="16"/>
  <c r="BH53" i="16"/>
  <c r="BH54" i="16"/>
  <c r="I195" i="5" l="1"/>
  <c r="H195" i="5"/>
  <c r="J192" i="5"/>
  <c r="I192" i="5"/>
  <c r="H192" i="5"/>
  <c r="G192" i="5"/>
  <c r="E192" i="5"/>
  <c r="G191" i="5"/>
  <c r="J190" i="5"/>
  <c r="I190" i="5"/>
  <c r="H190" i="5"/>
  <c r="G190" i="5"/>
  <c r="E190" i="5"/>
  <c r="J189" i="5"/>
  <c r="I189" i="5"/>
  <c r="H189" i="5"/>
  <c r="G189" i="5"/>
  <c r="E189" i="5"/>
  <c r="J188" i="5"/>
  <c r="I188" i="5"/>
  <c r="H188" i="5"/>
  <c r="G188" i="5"/>
  <c r="E188" i="5"/>
  <c r="J187" i="5"/>
  <c r="I187" i="5"/>
  <c r="H187" i="5"/>
  <c r="G187" i="5"/>
  <c r="E187" i="5"/>
  <c r="J186" i="5"/>
  <c r="I186" i="5"/>
  <c r="H186" i="5"/>
  <c r="G186" i="5"/>
  <c r="E186" i="5"/>
  <c r="J185" i="5"/>
  <c r="I185" i="5"/>
  <c r="H185" i="5"/>
  <c r="G185" i="5"/>
  <c r="E185" i="5"/>
  <c r="J184" i="5"/>
  <c r="I184" i="5"/>
  <c r="H184" i="5"/>
  <c r="G184" i="5"/>
  <c r="E184" i="5"/>
  <c r="I183" i="5"/>
  <c r="H183" i="5"/>
  <c r="G182" i="5"/>
  <c r="AI180" i="5"/>
  <c r="AH180" i="5"/>
  <c r="I180" i="5"/>
  <c r="H180" i="5"/>
  <c r="AJ179" i="5"/>
  <c r="AI179" i="5"/>
  <c r="AH179" i="5"/>
  <c r="AG179" i="5"/>
  <c r="AJ178" i="5"/>
  <c r="AI178" i="5"/>
  <c r="AH178" i="5"/>
  <c r="AG178" i="5"/>
  <c r="AJ177" i="5"/>
  <c r="AI177" i="5"/>
  <c r="AH177" i="5"/>
  <c r="J176" i="5"/>
  <c r="I176" i="5"/>
  <c r="H176" i="5"/>
  <c r="G176" i="5"/>
  <c r="E176" i="5"/>
  <c r="I175" i="5"/>
  <c r="H175" i="5"/>
  <c r="AJ175" i="5"/>
  <c r="AI175" i="5"/>
  <c r="AH175" i="5"/>
  <c r="AG175" i="5"/>
  <c r="AE175" i="5"/>
  <c r="J174" i="5"/>
  <c r="I174" i="5"/>
  <c r="H174" i="5"/>
  <c r="G174" i="5"/>
  <c r="E174" i="5"/>
  <c r="AI174" i="5"/>
  <c r="AH174" i="5"/>
  <c r="AI173" i="5"/>
  <c r="AH173" i="5"/>
  <c r="AJ172" i="5"/>
  <c r="AI172" i="5"/>
  <c r="AH172" i="5"/>
  <c r="I163" i="5"/>
  <c r="H163" i="5"/>
  <c r="J160" i="5"/>
  <c r="I160" i="5"/>
  <c r="H160" i="5"/>
  <c r="G160" i="5"/>
  <c r="E160" i="5"/>
  <c r="G159" i="5"/>
  <c r="J158" i="5"/>
  <c r="I158" i="5"/>
  <c r="H158" i="5"/>
  <c r="G158" i="5"/>
  <c r="E158" i="5"/>
  <c r="J157" i="5"/>
  <c r="I157" i="5"/>
  <c r="H157" i="5"/>
  <c r="G157" i="5"/>
  <c r="E157" i="5"/>
  <c r="AJ157" i="5"/>
  <c r="AI157" i="5"/>
  <c r="AH157" i="5"/>
  <c r="AG157" i="5"/>
  <c r="AE157" i="5"/>
  <c r="J156" i="5"/>
  <c r="I156" i="5"/>
  <c r="H156" i="5"/>
  <c r="G156" i="5"/>
  <c r="E156" i="5"/>
  <c r="AJ156" i="5"/>
  <c r="AI156" i="5"/>
  <c r="AH156" i="5"/>
  <c r="AG156" i="5"/>
  <c r="AE156" i="5"/>
  <c r="J155" i="5"/>
  <c r="I155" i="5"/>
  <c r="H155" i="5"/>
  <c r="G155" i="5"/>
  <c r="E155" i="5"/>
  <c r="AJ155" i="5"/>
  <c r="AI155" i="5"/>
  <c r="AH155" i="5"/>
  <c r="AG155" i="5"/>
  <c r="AE155" i="5"/>
  <c r="J154" i="5"/>
  <c r="I154" i="5"/>
  <c r="H154" i="5"/>
  <c r="G154" i="5"/>
  <c r="E154" i="5"/>
  <c r="AJ154" i="5"/>
  <c r="AI154" i="5"/>
  <c r="AH154" i="5"/>
  <c r="AG154" i="5"/>
  <c r="AE154" i="5"/>
  <c r="J153" i="5"/>
  <c r="I153" i="5"/>
  <c r="H153" i="5"/>
  <c r="G153" i="5"/>
  <c r="E153" i="5"/>
  <c r="J152" i="5"/>
  <c r="I152" i="5"/>
  <c r="H152" i="5"/>
  <c r="G152" i="5"/>
  <c r="E152" i="5"/>
  <c r="I151" i="5"/>
  <c r="H151" i="5"/>
  <c r="G150" i="5"/>
  <c r="AJ149" i="5"/>
  <c r="AK150" i="5" s="1"/>
  <c r="AI150" i="5" s="1"/>
  <c r="I148" i="5"/>
  <c r="H148" i="5"/>
  <c r="I143" i="5"/>
  <c r="H143" i="5"/>
  <c r="AI143" i="5"/>
  <c r="AH143" i="5"/>
  <c r="J142" i="5"/>
  <c r="I142" i="5"/>
  <c r="H142" i="5"/>
  <c r="G142" i="5"/>
  <c r="E142" i="5"/>
  <c r="AJ142" i="5"/>
  <c r="AI142" i="5"/>
  <c r="AH142" i="5"/>
  <c r="AG142" i="5"/>
  <c r="AE142" i="5"/>
  <c r="AJ141" i="5"/>
  <c r="AI141" i="5"/>
  <c r="AH141" i="5"/>
  <c r="AG141" i="5"/>
  <c r="AJ140" i="5"/>
  <c r="AI140" i="5"/>
  <c r="AH140" i="5"/>
  <c r="AG140" i="5"/>
  <c r="AJ137" i="5"/>
  <c r="AK139" i="5" s="1"/>
  <c r="AH139" i="5" s="1"/>
  <c r="AI137" i="5"/>
  <c r="AH137" i="5"/>
  <c r="AG137" i="5"/>
  <c r="AI131" i="5"/>
  <c r="AH131" i="5"/>
  <c r="I131" i="5"/>
  <c r="H131" i="5"/>
  <c r="AJ129" i="5"/>
  <c r="AI129" i="5"/>
  <c r="AH129" i="5"/>
  <c r="AG129" i="5"/>
  <c r="AE129" i="5"/>
  <c r="J128" i="5"/>
  <c r="I128" i="5"/>
  <c r="H128" i="5"/>
  <c r="G128" i="5"/>
  <c r="E128" i="5"/>
  <c r="AJ128" i="5"/>
  <c r="AI128" i="5"/>
  <c r="AH128" i="5"/>
  <c r="AG128" i="5"/>
  <c r="AE128" i="5"/>
  <c r="J127" i="5"/>
  <c r="I127" i="5"/>
  <c r="H127" i="5"/>
  <c r="G127" i="5"/>
  <c r="E127" i="5"/>
  <c r="J126" i="5"/>
  <c r="I126" i="5"/>
  <c r="H126" i="5"/>
  <c r="G126" i="5"/>
  <c r="E126" i="5"/>
  <c r="J125" i="5"/>
  <c r="I125" i="5"/>
  <c r="H125" i="5"/>
  <c r="G125" i="5"/>
  <c r="E125" i="5"/>
  <c r="J124" i="5"/>
  <c r="I124" i="5"/>
  <c r="H124" i="5"/>
  <c r="G124" i="5"/>
  <c r="E124" i="5"/>
  <c r="J123" i="5"/>
  <c r="I123" i="5"/>
  <c r="H123" i="5"/>
  <c r="G123" i="5"/>
  <c r="E123" i="5"/>
  <c r="J122" i="5"/>
  <c r="I122" i="5"/>
  <c r="H122" i="5"/>
  <c r="G122" i="5"/>
  <c r="E122" i="5"/>
  <c r="S122" i="5"/>
  <c r="R122" i="5"/>
  <c r="Q122" i="5"/>
  <c r="P122" i="5"/>
  <c r="J121" i="5"/>
  <c r="I121" i="5"/>
  <c r="H121" i="5"/>
  <c r="G121" i="5"/>
  <c r="E121" i="5"/>
  <c r="AI121" i="5"/>
  <c r="AH121" i="5"/>
  <c r="S120" i="5"/>
  <c r="R120" i="5"/>
  <c r="Q120" i="5"/>
  <c r="P120" i="5"/>
  <c r="J120" i="5"/>
  <c r="I120" i="5"/>
  <c r="H120" i="5"/>
  <c r="G120" i="5"/>
  <c r="E120" i="5"/>
  <c r="S119" i="5"/>
  <c r="R119" i="5"/>
  <c r="Q119" i="5"/>
  <c r="P119" i="5"/>
  <c r="I119" i="5"/>
  <c r="H119" i="5"/>
  <c r="AJ119" i="5"/>
  <c r="AI119" i="5"/>
  <c r="AH119" i="5"/>
  <c r="AG119" i="5"/>
  <c r="AE119" i="5"/>
  <c r="BA117" i="5"/>
  <c r="AZ117" i="5"/>
  <c r="AJ118" i="5"/>
  <c r="AI118" i="5"/>
  <c r="AH118" i="5"/>
  <c r="AG118" i="5"/>
  <c r="R117" i="5"/>
  <c r="Q117" i="5"/>
  <c r="BB116" i="5"/>
  <c r="BA116" i="5"/>
  <c r="AZ116" i="5"/>
  <c r="AY116" i="5"/>
  <c r="AW116" i="5"/>
  <c r="I116" i="5"/>
  <c r="H116" i="5"/>
  <c r="S115" i="5"/>
  <c r="R115" i="5"/>
  <c r="Q115" i="5"/>
  <c r="P115" i="5"/>
  <c r="S114" i="5"/>
  <c r="R114" i="5"/>
  <c r="Q114" i="5"/>
  <c r="P114" i="5"/>
  <c r="S113" i="5"/>
  <c r="R113" i="5"/>
  <c r="Q113" i="5"/>
  <c r="P113" i="5"/>
  <c r="S111" i="5"/>
  <c r="T112" i="5" s="1"/>
  <c r="Q112" i="5" s="1"/>
  <c r="R111" i="5"/>
  <c r="Q111" i="5"/>
  <c r="P111" i="5"/>
  <c r="I111" i="5"/>
  <c r="H111" i="5"/>
  <c r="BB110" i="5"/>
  <c r="BA110" i="5"/>
  <c r="AZ110" i="5"/>
  <c r="AY110" i="5"/>
  <c r="J110" i="5"/>
  <c r="I110" i="5"/>
  <c r="H110" i="5"/>
  <c r="G110" i="5"/>
  <c r="E110" i="5"/>
  <c r="BJ109" i="5"/>
  <c r="BI109" i="5"/>
  <c r="BB109" i="5"/>
  <c r="BA109" i="5"/>
  <c r="AZ109" i="5"/>
  <c r="AY109" i="5"/>
  <c r="R109" i="5"/>
  <c r="Q109" i="5"/>
  <c r="S108" i="5"/>
  <c r="R108" i="5"/>
  <c r="Q108" i="5"/>
  <c r="P108" i="5"/>
  <c r="BA107" i="5"/>
  <c r="AZ107" i="5"/>
  <c r="AJ108" i="5"/>
  <c r="AI108" i="5"/>
  <c r="AH108" i="5"/>
  <c r="AG108" i="5"/>
  <c r="BK106" i="5"/>
  <c r="BJ106" i="5"/>
  <c r="BI106" i="5"/>
  <c r="BH106" i="5"/>
  <c r="BF106" i="5"/>
  <c r="AJ107" i="5"/>
  <c r="AI107" i="5"/>
  <c r="AH107" i="5"/>
  <c r="AG107" i="5"/>
  <c r="BB105" i="5"/>
  <c r="BA105" i="5"/>
  <c r="AZ105" i="5"/>
  <c r="AY105" i="5"/>
  <c r="AJ106" i="5"/>
  <c r="AI106" i="5"/>
  <c r="AH106" i="5"/>
  <c r="AG106" i="5"/>
  <c r="BB104" i="5"/>
  <c r="BA104" i="5"/>
  <c r="AZ104" i="5"/>
  <c r="AY104" i="5"/>
  <c r="AJ105" i="5"/>
  <c r="AI105" i="5"/>
  <c r="AH105" i="5"/>
  <c r="AG105" i="5"/>
  <c r="BK103" i="5"/>
  <c r="BJ103" i="5"/>
  <c r="BH103" i="5"/>
  <c r="BF103" i="5"/>
  <c r="BB103" i="5"/>
  <c r="BA103" i="5"/>
  <c r="AZ103" i="5"/>
  <c r="AY103" i="5"/>
  <c r="AJ104" i="5"/>
  <c r="AI104" i="5"/>
  <c r="AH104" i="5"/>
  <c r="AG104" i="5"/>
  <c r="AJ103" i="5"/>
  <c r="AI103" i="5"/>
  <c r="AH103" i="5"/>
  <c r="AG103" i="5"/>
  <c r="S102" i="5"/>
  <c r="R102" i="5"/>
  <c r="Q102" i="5"/>
  <c r="P102" i="5"/>
  <c r="BK101" i="5"/>
  <c r="BJ101" i="5"/>
  <c r="BI101" i="5"/>
  <c r="BH101" i="5"/>
  <c r="BF101" i="5"/>
  <c r="BA101" i="5"/>
  <c r="AZ101" i="5"/>
  <c r="AJ102" i="5"/>
  <c r="AI102" i="5"/>
  <c r="AH102" i="5"/>
  <c r="AG102" i="5"/>
  <c r="S101" i="5"/>
  <c r="R101" i="5"/>
  <c r="Q101" i="5"/>
  <c r="P101" i="5"/>
  <c r="BK100" i="5"/>
  <c r="BJ100" i="5"/>
  <c r="BI100" i="5"/>
  <c r="BH100" i="5"/>
  <c r="BF100" i="5"/>
  <c r="BB100" i="5"/>
  <c r="BA100" i="5"/>
  <c r="AZ100" i="5"/>
  <c r="AY100" i="5"/>
  <c r="AB100" i="5"/>
  <c r="AA100" i="5"/>
  <c r="Z100" i="5"/>
  <c r="Y100" i="5"/>
  <c r="W100" i="5"/>
  <c r="S100" i="5"/>
  <c r="R100" i="5"/>
  <c r="Q100" i="5"/>
  <c r="P100" i="5"/>
  <c r="I101" i="5"/>
  <c r="H101" i="5"/>
  <c r="BK99" i="5"/>
  <c r="BJ99" i="5"/>
  <c r="BI99" i="5"/>
  <c r="BH99" i="5"/>
  <c r="BF99" i="5"/>
  <c r="BJ98" i="5"/>
  <c r="BI98" i="5"/>
  <c r="AA98" i="5"/>
  <c r="Z98" i="5"/>
  <c r="R98" i="5"/>
  <c r="Q98" i="5"/>
  <c r="J98" i="5"/>
  <c r="I98" i="5"/>
  <c r="H98" i="5"/>
  <c r="G98" i="5"/>
  <c r="E98" i="5"/>
  <c r="BK97" i="5"/>
  <c r="BJ97" i="5"/>
  <c r="BI97" i="5"/>
  <c r="BH97" i="5"/>
  <c r="J97" i="5"/>
  <c r="I97" i="5"/>
  <c r="H97" i="5"/>
  <c r="G97" i="5"/>
  <c r="E97" i="5"/>
  <c r="AB96" i="5"/>
  <c r="AA96" i="5"/>
  <c r="Z96" i="5"/>
  <c r="Y96" i="5"/>
  <c r="S96" i="5"/>
  <c r="R96" i="5"/>
  <c r="Q96" i="5"/>
  <c r="P96" i="5"/>
  <c r="J96" i="5"/>
  <c r="I96" i="5"/>
  <c r="H96" i="5"/>
  <c r="G96" i="5"/>
  <c r="E96" i="5"/>
  <c r="BB95" i="5"/>
  <c r="BA95" i="5"/>
  <c r="AZ95" i="5"/>
  <c r="AY95" i="5"/>
  <c r="AB95" i="5"/>
  <c r="AA95" i="5"/>
  <c r="Z95" i="5"/>
  <c r="Y95" i="5"/>
  <c r="S95" i="5"/>
  <c r="R95" i="5"/>
  <c r="Q95" i="5"/>
  <c r="P95" i="5"/>
  <c r="J95" i="5"/>
  <c r="I95" i="5"/>
  <c r="H95" i="5"/>
  <c r="G95" i="5"/>
  <c r="E95" i="5"/>
  <c r="BB94" i="5"/>
  <c r="BA94" i="5"/>
  <c r="AZ94" i="5"/>
  <c r="AY94" i="5"/>
  <c r="AJ95" i="5"/>
  <c r="AI95" i="5"/>
  <c r="AH95" i="5"/>
  <c r="AG95" i="5"/>
  <c r="AB94" i="5"/>
  <c r="AA94" i="5"/>
  <c r="Z94" i="5"/>
  <c r="Y94" i="5"/>
  <c r="S94" i="5"/>
  <c r="R94" i="5"/>
  <c r="Q94" i="5"/>
  <c r="P94" i="5"/>
  <c r="J94" i="5"/>
  <c r="I94" i="5"/>
  <c r="H94" i="5"/>
  <c r="G94" i="5"/>
  <c r="E94" i="5"/>
  <c r="AJ94" i="5"/>
  <c r="AI94" i="5"/>
  <c r="AH94" i="5"/>
  <c r="AG94" i="5"/>
  <c r="J93" i="5"/>
  <c r="I93" i="5"/>
  <c r="H93" i="5"/>
  <c r="G93" i="5"/>
  <c r="E93" i="5"/>
  <c r="BA92" i="5"/>
  <c r="AZ92" i="5"/>
  <c r="AJ93" i="5"/>
  <c r="AI93" i="5"/>
  <c r="AH93" i="5"/>
  <c r="AG93" i="5"/>
  <c r="AB92" i="5"/>
  <c r="AC93" i="5" s="1"/>
  <c r="AA93" i="5" s="1"/>
  <c r="AA92" i="5"/>
  <c r="Z92" i="5"/>
  <c r="Y92" i="5"/>
  <c r="S92" i="5"/>
  <c r="T93" i="5" s="1"/>
  <c r="R93" i="5" s="1"/>
  <c r="R92" i="5"/>
  <c r="Q92" i="5"/>
  <c r="P92" i="5"/>
  <c r="J92" i="5"/>
  <c r="I92" i="5"/>
  <c r="H92" i="5"/>
  <c r="G92" i="5"/>
  <c r="E92" i="5"/>
  <c r="BJ91" i="5"/>
  <c r="BI91" i="5"/>
  <c r="AJ92" i="5"/>
  <c r="AI92" i="5"/>
  <c r="AH92" i="5"/>
  <c r="AG92" i="5"/>
  <c r="J91" i="5"/>
  <c r="I91" i="5"/>
  <c r="H91" i="5"/>
  <c r="G91" i="5"/>
  <c r="E91" i="5"/>
  <c r="BB90" i="5"/>
  <c r="BA90" i="5"/>
  <c r="AZ90" i="5"/>
  <c r="AY90" i="5"/>
  <c r="AJ91" i="5"/>
  <c r="AI91" i="5"/>
  <c r="AH91" i="5"/>
  <c r="AG91" i="5"/>
  <c r="AA90" i="5"/>
  <c r="Z90" i="5"/>
  <c r="R90" i="5"/>
  <c r="Q90" i="5"/>
  <c r="J90" i="5"/>
  <c r="I90" i="5"/>
  <c r="H90" i="5"/>
  <c r="G90" i="5"/>
  <c r="E90" i="5"/>
  <c r="BB89" i="5"/>
  <c r="BA89" i="5"/>
  <c r="AZ89" i="5"/>
  <c r="AY89" i="5"/>
  <c r="AB89" i="5"/>
  <c r="AA89" i="5"/>
  <c r="Z89" i="5"/>
  <c r="Y89" i="5"/>
  <c r="S89" i="5"/>
  <c r="R89" i="5"/>
  <c r="Q89" i="5"/>
  <c r="P89" i="5"/>
  <c r="BK88" i="5"/>
  <c r="BJ88" i="5"/>
  <c r="BI88" i="5"/>
  <c r="BH88" i="5"/>
  <c r="BF88" i="5"/>
  <c r="BB88" i="5"/>
  <c r="BA88" i="5"/>
  <c r="AZ88" i="5"/>
  <c r="AY88" i="5"/>
  <c r="J88" i="5"/>
  <c r="K89" i="5" s="1"/>
  <c r="I88" i="5"/>
  <c r="H88" i="5"/>
  <c r="G88" i="5"/>
  <c r="E88" i="5"/>
  <c r="BK87" i="5"/>
  <c r="BJ87" i="5"/>
  <c r="BI87" i="5"/>
  <c r="BH87" i="5"/>
  <c r="BF87" i="5"/>
  <c r="BK86" i="5"/>
  <c r="BJ86" i="5"/>
  <c r="BI86" i="5"/>
  <c r="BH86" i="5"/>
  <c r="BF86" i="5"/>
  <c r="BA86" i="5"/>
  <c r="AZ86" i="5"/>
  <c r="I86" i="5"/>
  <c r="H86" i="5"/>
  <c r="BK85" i="5"/>
  <c r="BJ85" i="5"/>
  <c r="BI85" i="5"/>
  <c r="BH85" i="5"/>
  <c r="BF85" i="5"/>
  <c r="BJ84" i="5"/>
  <c r="BI84" i="5"/>
  <c r="J84" i="5"/>
  <c r="I84" i="5"/>
  <c r="H84" i="5"/>
  <c r="G84" i="5"/>
  <c r="E84" i="5"/>
  <c r="BK83" i="5"/>
  <c r="BJ83" i="5"/>
  <c r="BI83" i="5"/>
  <c r="BH83" i="5"/>
  <c r="S83" i="5"/>
  <c r="R83" i="5"/>
  <c r="Q83" i="5"/>
  <c r="P83" i="5"/>
  <c r="J83" i="5"/>
  <c r="I83" i="5"/>
  <c r="H83" i="5"/>
  <c r="G83" i="5"/>
  <c r="E83" i="5"/>
  <c r="S82" i="5"/>
  <c r="R82" i="5"/>
  <c r="Q82" i="5"/>
  <c r="P82" i="5"/>
  <c r="AB81" i="5"/>
  <c r="AA81" i="5"/>
  <c r="Z81" i="5"/>
  <c r="Y81" i="5"/>
  <c r="W81" i="5"/>
  <c r="S81" i="5"/>
  <c r="R81" i="5"/>
  <c r="Q81" i="5"/>
  <c r="P81" i="5"/>
  <c r="I81" i="5"/>
  <c r="H81" i="5"/>
  <c r="BB80" i="5"/>
  <c r="BA80" i="5"/>
  <c r="AZ80" i="5"/>
  <c r="AY80" i="5"/>
  <c r="J80" i="5"/>
  <c r="I80" i="5"/>
  <c r="H80" i="5"/>
  <c r="G80" i="5"/>
  <c r="E80" i="5"/>
  <c r="BB79" i="5"/>
  <c r="BA79" i="5"/>
  <c r="AZ79" i="5"/>
  <c r="AY79" i="5"/>
  <c r="AA79" i="5"/>
  <c r="Z79" i="5"/>
  <c r="R79" i="5"/>
  <c r="Q79" i="5"/>
  <c r="BA77" i="5"/>
  <c r="AZ77" i="5"/>
  <c r="AB77" i="5"/>
  <c r="AA77" i="5"/>
  <c r="Z77" i="5"/>
  <c r="Y77" i="5"/>
  <c r="S77" i="5"/>
  <c r="R77" i="5"/>
  <c r="Q77" i="5"/>
  <c r="P77" i="5"/>
  <c r="AB76" i="5"/>
  <c r="AA76" i="5"/>
  <c r="Z76" i="5"/>
  <c r="Y76" i="5"/>
  <c r="S76" i="5"/>
  <c r="R76" i="5"/>
  <c r="Q76" i="5"/>
  <c r="P76" i="5"/>
  <c r="BB75" i="5"/>
  <c r="BA75" i="5"/>
  <c r="AZ75" i="5"/>
  <c r="AY75" i="5"/>
  <c r="AB75" i="5"/>
  <c r="AA75" i="5"/>
  <c r="Z75" i="5"/>
  <c r="Y75" i="5"/>
  <c r="S75" i="5"/>
  <c r="R75" i="5"/>
  <c r="Q75" i="5"/>
  <c r="P75" i="5"/>
  <c r="BB74" i="5"/>
  <c r="BA74" i="5"/>
  <c r="AZ74" i="5"/>
  <c r="AY74" i="5"/>
  <c r="BB73" i="5"/>
  <c r="BA73" i="5"/>
  <c r="AZ73" i="5"/>
  <c r="AY73" i="5"/>
  <c r="AJ73" i="5"/>
  <c r="AI73" i="5"/>
  <c r="AH73" i="5"/>
  <c r="AG73" i="5"/>
  <c r="AE73" i="5"/>
  <c r="AB73" i="5"/>
  <c r="AC74" i="5" s="1"/>
  <c r="Z74" i="5" s="1"/>
  <c r="AA73" i="5"/>
  <c r="Z73" i="5"/>
  <c r="Y73" i="5"/>
  <c r="S73" i="5"/>
  <c r="T74" i="5" s="1"/>
  <c r="R74" i="5" s="1"/>
  <c r="R73" i="5"/>
  <c r="Q73" i="5"/>
  <c r="P73" i="5"/>
  <c r="AJ72" i="5"/>
  <c r="AI72" i="5"/>
  <c r="AH72" i="5"/>
  <c r="AG72" i="5"/>
  <c r="AE72" i="5"/>
  <c r="S72" i="5"/>
  <c r="I73" i="5"/>
  <c r="H73" i="5"/>
  <c r="BA71" i="5"/>
  <c r="AZ71" i="5"/>
  <c r="AJ71" i="5"/>
  <c r="AI71" i="5"/>
  <c r="AH71" i="5"/>
  <c r="AG71" i="5"/>
  <c r="AE71" i="5"/>
  <c r="AA71" i="5"/>
  <c r="Z71" i="5"/>
  <c r="R71" i="5"/>
  <c r="Q71" i="5"/>
  <c r="BB70" i="5"/>
  <c r="BA70" i="5"/>
  <c r="AZ70" i="5"/>
  <c r="AY70" i="5"/>
  <c r="AJ70" i="5"/>
  <c r="AI70" i="5"/>
  <c r="AH70" i="5"/>
  <c r="AG70" i="5"/>
  <c r="AE70" i="5"/>
  <c r="AB70" i="5"/>
  <c r="AA70" i="5"/>
  <c r="Z70" i="5"/>
  <c r="Y70" i="5"/>
  <c r="S70" i="5"/>
  <c r="R70" i="5"/>
  <c r="Q70" i="5"/>
  <c r="P70" i="5"/>
  <c r="J70" i="5"/>
  <c r="I70" i="5"/>
  <c r="H70" i="5"/>
  <c r="G70" i="5"/>
  <c r="E70" i="5"/>
  <c r="BK69" i="5"/>
  <c r="BJ69" i="5"/>
  <c r="BI69" i="5"/>
  <c r="BH69" i="5"/>
  <c r="J69" i="5"/>
  <c r="I69" i="5"/>
  <c r="H69" i="5"/>
  <c r="G69" i="5"/>
  <c r="E69" i="5"/>
  <c r="BK68" i="5"/>
  <c r="BJ68" i="5"/>
  <c r="BI68" i="5"/>
  <c r="BH68" i="5"/>
  <c r="BF68" i="5"/>
  <c r="J68" i="5"/>
  <c r="I68" i="5"/>
  <c r="H68" i="5"/>
  <c r="G68" i="5"/>
  <c r="E68" i="5"/>
  <c r="J67" i="5"/>
  <c r="I67" i="5"/>
  <c r="H67" i="5"/>
  <c r="G67" i="5"/>
  <c r="E67" i="5"/>
  <c r="J66" i="5"/>
  <c r="I66" i="5"/>
  <c r="H66" i="5"/>
  <c r="G66" i="5"/>
  <c r="E66" i="5"/>
  <c r="BB65" i="5"/>
  <c r="BA65" i="5"/>
  <c r="AZ65" i="5"/>
  <c r="AY65" i="5"/>
  <c r="AJ65" i="5"/>
  <c r="AK66" i="5" s="1"/>
  <c r="AI66" i="5" s="1"/>
  <c r="J65" i="5"/>
  <c r="I65" i="5"/>
  <c r="H65" i="5"/>
  <c r="G65" i="5"/>
  <c r="E65" i="5"/>
  <c r="BK64" i="5"/>
  <c r="BJ64" i="5"/>
  <c r="BI64" i="5"/>
  <c r="BH64" i="5"/>
  <c r="BF64" i="5"/>
  <c r="BB64" i="5"/>
  <c r="BA64" i="5"/>
  <c r="AZ64" i="5"/>
  <c r="AY64" i="5"/>
  <c r="J64" i="5"/>
  <c r="I64" i="5"/>
  <c r="H64" i="5"/>
  <c r="G64" i="5"/>
  <c r="E64" i="5"/>
  <c r="BK63" i="5"/>
  <c r="BJ63" i="5"/>
  <c r="BI63" i="5"/>
  <c r="BH63" i="5"/>
  <c r="BF63" i="5"/>
  <c r="J63" i="5"/>
  <c r="I63" i="5"/>
  <c r="H63" i="5"/>
  <c r="G63" i="5"/>
  <c r="E63" i="5"/>
  <c r="BA62" i="5"/>
  <c r="AZ62" i="5"/>
  <c r="J62" i="5"/>
  <c r="I62" i="5"/>
  <c r="H62" i="5"/>
  <c r="G62" i="5"/>
  <c r="E62" i="5"/>
  <c r="S61" i="5"/>
  <c r="R61" i="5"/>
  <c r="Q61" i="5"/>
  <c r="P61" i="5"/>
  <c r="BB60" i="5"/>
  <c r="BA60" i="5"/>
  <c r="AZ60" i="5"/>
  <c r="AY60" i="5"/>
  <c r="S60" i="5"/>
  <c r="R60" i="5"/>
  <c r="Q60" i="5"/>
  <c r="P60" i="5"/>
  <c r="I60" i="5"/>
  <c r="H60" i="5"/>
  <c r="BB59" i="5"/>
  <c r="BA59" i="5"/>
  <c r="AZ59" i="5"/>
  <c r="AY59" i="5"/>
  <c r="AB59" i="5"/>
  <c r="AA59" i="5"/>
  <c r="Z59" i="5"/>
  <c r="Y59" i="5"/>
  <c r="S59" i="5"/>
  <c r="R59" i="5"/>
  <c r="Q59" i="5"/>
  <c r="P59" i="5"/>
  <c r="BB58" i="5"/>
  <c r="BA58" i="5"/>
  <c r="AZ58" i="5"/>
  <c r="AY58" i="5"/>
  <c r="J58" i="5"/>
  <c r="I58" i="5"/>
  <c r="H58" i="5"/>
  <c r="G58" i="5"/>
  <c r="E58" i="5"/>
  <c r="AA57" i="5"/>
  <c r="Z57" i="5"/>
  <c r="R57" i="5"/>
  <c r="Q57" i="5"/>
  <c r="J57" i="5"/>
  <c r="I57" i="5"/>
  <c r="H57" i="5"/>
  <c r="G57" i="5"/>
  <c r="E57" i="5"/>
  <c r="BA56" i="5"/>
  <c r="AZ56" i="5"/>
  <c r="J56" i="5"/>
  <c r="I56" i="5"/>
  <c r="H56" i="5"/>
  <c r="G56" i="5"/>
  <c r="E56" i="5"/>
  <c r="BB55" i="5"/>
  <c r="BA55" i="5"/>
  <c r="AZ55" i="5"/>
  <c r="AY55" i="5"/>
  <c r="AI56" i="5"/>
  <c r="AH56" i="5"/>
  <c r="AB55" i="5"/>
  <c r="AA55" i="5"/>
  <c r="Z55" i="5"/>
  <c r="Y55" i="5"/>
  <c r="S55" i="5"/>
  <c r="R55" i="5"/>
  <c r="Q55" i="5"/>
  <c r="P55" i="5"/>
  <c r="AB54" i="5"/>
  <c r="AA54" i="5"/>
  <c r="Z54" i="5"/>
  <c r="Y54" i="5"/>
  <c r="S54" i="5"/>
  <c r="R54" i="5"/>
  <c r="Q54" i="5"/>
  <c r="P54" i="5"/>
  <c r="I54" i="5"/>
  <c r="H54" i="5"/>
  <c r="AB53" i="5"/>
  <c r="AA53" i="5"/>
  <c r="Z53" i="5"/>
  <c r="Y53" i="5"/>
  <c r="S53" i="5"/>
  <c r="R53" i="5"/>
  <c r="Q53" i="5"/>
  <c r="P53" i="5"/>
  <c r="J53" i="5"/>
  <c r="I53" i="5"/>
  <c r="H53" i="5"/>
  <c r="G53" i="5"/>
  <c r="E53" i="5"/>
  <c r="BK52" i="5"/>
  <c r="BJ52" i="5"/>
  <c r="BI52" i="5"/>
  <c r="BH52" i="5"/>
  <c r="BF52" i="5"/>
  <c r="BK51" i="5"/>
  <c r="BJ51" i="5"/>
  <c r="BI51" i="5"/>
  <c r="BH51" i="5"/>
  <c r="AB51" i="5"/>
  <c r="AC52" i="5" s="1"/>
  <c r="AA52" i="5" s="1"/>
  <c r="AA51" i="5"/>
  <c r="Z51" i="5"/>
  <c r="Y51" i="5"/>
  <c r="S51" i="5"/>
  <c r="T52" i="5" s="1"/>
  <c r="Q52" i="5" s="1"/>
  <c r="R51" i="5"/>
  <c r="Q51" i="5"/>
  <c r="P51" i="5"/>
  <c r="AJ50" i="5"/>
  <c r="AI50" i="5"/>
  <c r="AH50" i="5"/>
  <c r="AG50" i="5"/>
  <c r="BK49" i="5"/>
  <c r="BJ49" i="5"/>
  <c r="BI49" i="5"/>
  <c r="BH49" i="5"/>
  <c r="BF49" i="5"/>
  <c r="BA49" i="5"/>
  <c r="AZ49" i="5"/>
  <c r="AA49" i="5"/>
  <c r="Z49" i="5"/>
  <c r="R49" i="5"/>
  <c r="Q49" i="5"/>
  <c r="BK48" i="5"/>
  <c r="BJ48" i="5"/>
  <c r="BI48" i="5"/>
  <c r="BH48" i="5"/>
  <c r="BF48" i="5"/>
  <c r="AJ48" i="5"/>
  <c r="AI48" i="5"/>
  <c r="AH48" i="5"/>
  <c r="AG48" i="5"/>
  <c r="AE48" i="5"/>
  <c r="AB48" i="5"/>
  <c r="AA48" i="5"/>
  <c r="Z48" i="5"/>
  <c r="Y48" i="5"/>
  <c r="S48" i="5"/>
  <c r="R48" i="5"/>
  <c r="Q48" i="5"/>
  <c r="P48" i="5"/>
  <c r="BB47" i="5"/>
  <c r="BA47" i="5"/>
  <c r="AZ47" i="5"/>
  <c r="AY47" i="5"/>
  <c r="BB46" i="5"/>
  <c r="BA46" i="5"/>
  <c r="AZ46" i="5"/>
  <c r="AY46" i="5"/>
  <c r="AI46" i="5"/>
  <c r="AH46" i="5"/>
  <c r="G47" i="5"/>
  <c r="BB45" i="5"/>
  <c r="BA45" i="5"/>
  <c r="AZ45" i="5"/>
  <c r="AY45" i="5"/>
  <c r="I46" i="5"/>
  <c r="BA43" i="5"/>
  <c r="AZ43" i="5"/>
  <c r="J43" i="5"/>
  <c r="I43" i="5"/>
  <c r="H43" i="5"/>
  <c r="G43" i="5"/>
  <c r="E43" i="5"/>
  <c r="BB42" i="5"/>
  <c r="BA42" i="5"/>
  <c r="AZ42" i="5"/>
  <c r="AY42" i="5"/>
  <c r="J42" i="5"/>
  <c r="I42" i="5"/>
  <c r="H42" i="5"/>
  <c r="G42" i="5"/>
  <c r="E42" i="5"/>
  <c r="J41" i="5"/>
  <c r="I41" i="5"/>
  <c r="H41" i="5"/>
  <c r="G41" i="5"/>
  <c r="E41" i="5"/>
  <c r="J40" i="5"/>
  <c r="I40" i="5"/>
  <c r="H40" i="5"/>
  <c r="G40" i="5"/>
  <c r="E40" i="5"/>
  <c r="J39" i="5"/>
  <c r="I39" i="5"/>
  <c r="H39" i="5"/>
  <c r="G39" i="5"/>
  <c r="E39" i="5"/>
  <c r="AI41" i="5"/>
  <c r="AH41" i="5"/>
  <c r="S38" i="5"/>
  <c r="R38" i="5"/>
  <c r="Q38" i="5"/>
  <c r="P38" i="5"/>
  <c r="J38" i="5"/>
  <c r="I38" i="5"/>
  <c r="H38" i="5"/>
  <c r="G38" i="5"/>
  <c r="E38" i="5"/>
  <c r="AI39" i="5"/>
  <c r="AH39" i="5"/>
  <c r="S37" i="5"/>
  <c r="R37" i="5"/>
  <c r="Q37" i="5"/>
  <c r="P37" i="5"/>
  <c r="J37" i="5"/>
  <c r="I37" i="5"/>
  <c r="H37" i="5"/>
  <c r="G37" i="5"/>
  <c r="E37" i="5"/>
  <c r="BA36" i="5"/>
  <c r="AZ36" i="5"/>
  <c r="AB36" i="5"/>
  <c r="AA36" i="5"/>
  <c r="Z36" i="5"/>
  <c r="Y36" i="5"/>
  <c r="S36" i="5"/>
  <c r="R36" i="5"/>
  <c r="Q36" i="5"/>
  <c r="P36" i="5"/>
  <c r="J36" i="5"/>
  <c r="I36" i="5"/>
  <c r="H36" i="5"/>
  <c r="G36" i="5"/>
  <c r="E36" i="5"/>
  <c r="BS40" i="5"/>
  <c r="BR40" i="5"/>
  <c r="BQ39" i="5"/>
  <c r="BB34" i="5"/>
  <c r="BA34" i="5"/>
  <c r="AZ34" i="5"/>
  <c r="AY34" i="5"/>
  <c r="AA34" i="5"/>
  <c r="Z34" i="5"/>
  <c r="R34" i="5"/>
  <c r="Q34" i="5"/>
  <c r="I34" i="5"/>
  <c r="H34" i="5"/>
  <c r="BB33" i="5"/>
  <c r="BA33" i="5"/>
  <c r="AZ33" i="5"/>
  <c r="AY33" i="5"/>
  <c r="BA32" i="5"/>
  <c r="AZ32" i="5"/>
  <c r="AY32" i="5"/>
  <c r="AJ34" i="5"/>
  <c r="AI34" i="5"/>
  <c r="AH34" i="5"/>
  <c r="AG34" i="5"/>
  <c r="AE34" i="5"/>
  <c r="AB32" i="5"/>
  <c r="AA32" i="5"/>
  <c r="Z32" i="5"/>
  <c r="Y32" i="5"/>
  <c r="S32" i="5"/>
  <c r="R32" i="5"/>
  <c r="Q32" i="5"/>
  <c r="P32" i="5"/>
  <c r="J32" i="5"/>
  <c r="I32" i="5"/>
  <c r="H32" i="5"/>
  <c r="G32" i="5"/>
  <c r="E32" i="5"/>
  <c r="AJ33" i="5"/>
  <c r="AI33" i="5"/>
  <c r="AH33" i="5"/>
  <c r="AG33" i="5"/>
  <c r="AE33" i="5"/>
  <c r="AB31" i="5"/>
  <c r="AA31" i="5"/>
  <c r="Z31" i="5"/>
  <c r="Y31" i="5"/>
  <c r="S31" i="5"/>
  <c r="R31" i="5"/>
  <c r="Q31" i="5"/>
  <c r="P31" i="5"/>
  <c r="J31" i="5"/>
  <c r="I31" i="5"/>
  <c r="H31" i="5"/>
  <c r="G31" i="5"/>
  <c r="E31" i="5"/>
  <c r="BK30" i="5"/>
  <c r="BJ30" i="5"/>
  <c r="BI30" i="5"/>
  <c r="BH30" i="5"/>
  <c r="BF30" i="5"/>
  <c r="BA30" i="5"/>
  <c r="AZ30" i="5"/>
  <c r="AJ31" i="5"/>
  <c r="AI31" i="5"/>
  <c r="AH31" i="5"/>
  <c r="AG31" i="5"/>
  <c r="AE31" i="5"/>
  <c r="AB30" i="5"/>
  <c r="AA30" i="5"/>
  <c r="Z30" i="5"/>
  <c r="Y30" i="5"/>
  <c r="S30" i="5"/>
  <c r="R30" i="5"/>
  <c r="Q30" i="5"/>
  <c r="P30" i="5"/>
  <c r="J30" i="5"/>
  <c r="I30" i="5"/>
  <c r="H30" i="5"/>
  <c r="G30" i="5"/>
  <c r="E30" i="5"/>
  <c r="BK29" i="5"/>
  <c r="BJ29" i="5"/>
  <c r="BI29" i="5"/>
  <c r="BH29" i="5"/>
  <c r="BF29" i="5"/>
  <c r="BB29" i="5"/>
  <c r="AI29" i="5"/>
  <c r="AH29" i="5"/>
  <c r="BK28" i="5"/>
  <c r="BJ28" i="5"/>
  <c r="BI28" i="5"/>
  <c r="BH28" i="5"/>
  <c r="BF28" i="5"/>
  <c r="AB28" i="5"/>
  <c r="AC29" i="5" s="1"/>
  <c r="AA28" i="5"/>
  <c r="Z28" i="5"/>
  <c r="Y28" i="5"/>
  <c r="S28" i="5"/>
  <c r="T29" i="5" s="1"/>
  <c r="R28" i="5"/>
  <c r="Q28" i="5"/>
  <c r="P28" i="5"/>
  <c r="I28" i="5"/>
  <c r="H28" i="5"/>
  <c r="J27" i="5"/>
  <c r="I27" i="5"/>
  <c r="G27" i="5"/>
  <c r="E27" i="5"/>
  <c r="AA26" i="5"/>
  <c r="Z26" i="5"/>
  <c r="R26" i="5"/>
  <c r="Q26" i="5"/>
  <c r="AB25" i="5"/>
  <c r="AA25" i="5"/>
  <c r="Z25" i="5"/>
  <c r="Y25" i="5"/>
  <c r="S25" i="5"/>
  <c r="R25" i="5"/>
  <c r="Q25" i="5"/>
  <c r="P25" i="5"/>
  <c r="BA23" i="5"/>
  <c r="AZ23" i="5"/>
  <c r="AI24" i="5"/>
  <c r="AH24" i="5"/>
  <c r="BB21" i="5"/>
  <c r="BA21" i="5"/>
  <c r="AZ21" i="5"/>
  <c r="AY21" i="5"/>
  <c r="AI21" i="5"/>
  <c r="AH21" i="5"/>
  <c r="BB20" i="5"/>
  <c r="BA20" i="5"/>
  <c r="AZ20" i="5"/>
  <c r="AY20" i="5"/>
  <c r="AJ20" i="5"/>
  <c r="AI20" i="5"/>
  <c r="AH20" i="5"/>
  <c r="AG20" i="5"/>
  <c r="AE20" i="5"/>
  <c r="BS22" i="5"/>
  <c r="BR22" i="5"/>
  <c r="BB19" i="5"/>
  <c r="BA19" i="5"/>
  <c r="AZ19" i="5"/>
  <c r="AY19" i="5"/>
  <c r="AJ19" i="5"/>
  <c r="AI19" i="5"/>
  <c r="AH19" i="5"/>
  <c r="AG19" i="5"/>
  <c r="AE19" i="5"/>
  <c r="AJ18" i="5"/>
  <c r="AI18" i="5"/>
  <c r="AH18" i="5"/>
  <c r="J18" i="5"/>
  <c r="I18" i="5"/>
  <c r="H18" i="5"/>
  <c r="G18" i="5"/>
  <c r="E18" i="5"/>
  <c r="BA17" i="5"/>
  <c r="AZ17" i="5"/>
  <c r="J17" i="5"/>
  <c r="I17" i="5"/>
  <c r="H17" i="5"/>
  <c r="G17" i="5"/>
  <c r="E17" i="5"/>
  <c r="BB16" i="5"/>
  <c r="BA16" i="5"/>
  <c r="AZ16" i="5"/>
  <c r="AY16" i="5"/>
  <c r="AJ16" i="5"/>
  <c r="AI16" i="5"/>
  <c r="AH16" i="5"/>
  <c r="AG16" i="5"/>
  <c r="AE16" i="5"/>
  <c r="S16" i="5"/>
  <c r="R16" i="5"/>
  <c r="Q16" i="5"/>
  <c r="P16" i="5"/>
  <c r="J16" i="5"/>
  <c r="I16" i="5"/>
  <c r="H16" i="5"/>
  <c r="G16" i="5"/>
  <c r="E16" i="5"/>
  <c r="AI15" i="5"/>
  <c r="AH15" i="5"/>
  <c r="S15" i="5"/>
  <c r="R15" i="5"/>
  <c r="Q15" i="5"/>
  <c r="P15" i="5"/>
  <c r="J15" i="5"/>
  <c r="I15" i="5"/>
  <c r="H15" i="5"/>
  <c r="G15" i="5"/>
  <c r="E15" i="5"/>
  <c r="AI14" i="5"/>
  <c r="AH14" i="5"/>
  <c r="AB14" i="5"/>
  <c r="AA14" i="5"/>
  <c r="Z14" i="5"/>
  <c r="Y14" i="5"/>
  <c r="S14" i="5"/>
  <c r="R14" i="5"/>
  <c r="Q14" i="5"/>
  <c r="P14" i="5"/>
  <c r="J14" i="5"/>
  <c r="I14" i="5"/>
  <c r="H14" i="5"/>
  <c r="G14" i="5"/>
  <c r="E14" i="5"/>
  <c r="AJ13" i="5"/>
  <c r="AI13" i="5"/>
  <c r="AH13" i="5"/>
  <c r="J13" i="5"/>
  <c r="I13" i="5"/>
  <c r="H13" i="5"/>
  <c r="G13" i="5"/>
  <c r="E13" i="5"/>
  <c r="AA12" i="5"/>
  <c r="Z12" i="5"/>
  <c r="R12" i="5"/>
  <c r="Q12" i="5"/>
  <c r="J12" i="5"/>
  <c r="I12" i="5"/>
  <c r="H12" i="5"/>
  <c r="G12" i="5"/>
  <c r="E12" i="5"/>
  <c r="BK11" i="5"/>
  <c r="BJ11" i="5"/>
  <c r="BI11" i="5"/>
  <c r="BH11" i="5"/>
  <c r="BF11" i="5"/>
  <c r="BK10" i="5"/>
  <c r="BJ10" i="5"/>
  <c r="BI10" i="5"/>
  <c r="BH10" i="5"/>
  <c r="BF10" i="5"/>
  <c r="BA10" i="5"/>
  <c r="AB10" i="5"/>
  <c r="AA10" i="5"/>
  <c r="Z10" i="5"/>
  <c r="Y10" i="5"/>
  <c r="S10" i="5"/>
  <c r="R10" i="5"/>
  <c r="Q10" i="5"/>
  <c r="P10" i="5"/>
  <c r="I10" i="5"/>
  <c r="H10" i="5"/>
  <c r="BK9" i="5"/>
  <c r="BJ9" i="5"/>
  <c r="BI9" i="5"/>
  <c r="BH9" i="5"/>
  <c r="BF9" i="5"/>
  <c r="AI9" i="5"/>
  <c r="AH9" i="5"/>
  <c r="AB9" i="5"/>
  <c r="AA9" i="5"/>
  <c r="Z9" i="5"/>
  <c r="Y9" i="5"/>
  <c r="S9" i="5"/>
  <c r="R9" i="5"/>
  <c r="Q9" i="5"/>
  <c r="P9" i="5"/>
  <c r="BH8" i="5"/>
  <c r="BB8" i="5"/>
  <c r="BA8" i="5"/>
  <c r="AZ8" i="5"/>
  <c r="AY8" i="5"/>
  <c r="AJ8" i="5"/>
  <c r="AI8" i="5"/>
  <c r="AH8" i="5"/>
  <c r="AG8" i="5"/>
  <c r="AB8" i="5"/>
  <c r="AA8" i="5"/>
  <c r="Z8" i="5"/>
  <c r="Y8" i="5"/>
  <c r="S8" i="5"/>
  <c r="R8" i="5"/>
  <c r="Q8" i="5"/>
  <c r="P8" i="5"/>
  <c r="J8" i="5"/>
  <c r="I8" i="5"/>
  <c r="H8" i="5"/>
  <c r="G8" i="5"/>
  <c r="E8" i="5"/>
  <c r="BB7" i="5"/>
  <c r="BA7" i="5"/>
  <c r="AZ7" i="5"/>
  <c r="AY7" i="5"/>
  <c r="AJ7" i="5"/>
  <c r="AI7" i="5"/>
  <c r="AH7" i="5"/>
  <c r="AG7" i="5"/>
  <c r="J7" i="5"/>
  <c r="I7" i="5"/>
  <c r="H7" i="5"/>
  <c r="G7" i="5"/>
  <c r="E7" i="5"/>
  <c r="BB6" i="5"/>
  <c r="BA6" i="5"/>
  <c r="AZ6" i="5"/>
  <c r="AY6" i="5"/>
  <c r="AJ6" i="5"/>
  <c r="AI6" i="5"/>
  <c r="AH6" i="5"/>
  <c r="AG6" i="5"/>
  <c r="AB6" i="5"/>
  <c r="AC7" i="5" s="1"/>
  <c r="Z7" i="5" s="1"/>
  <c r="AA6" i="5"/>
  <c r="Z6" i="5"/>
  <c r="Y6" i="5"/>
  <c r="S6" i="5"/>
  <c r="T7" i="5" s="1"/>
  <c r="R6" i="5"/>
  <c r="Q6" i="5"/>
  <c r="P6" i="5"/>
  <c r="J6" i="5"/>
  <c r="I6" i="5"/>
  <c r="H6" i="5"/>
  <c r="G6" i="5"/>
  <c r="E6" i="5"/>
  <c r="BT5" i="5"/>
  <c r="AI5" i="5"/>
  <c r="AH5" i="5"/>
  <c r="BS4" i="5"/>
  <c r="BR4" i="5"/>
  <c r="BA4" i="5"/>
  <c r="AZ4" i="5"/>
  <c r="AI4" i="5"/>
  <c r="AH4" i="5"/>
  <c r="AA4" i="5"/>
  <c r="Z4" i="5"/>
  <c r="R4" i="5"/>
  <c r="Q4" i="5"/>
  <c r="I4" i="5"/>
  <c r="H4" i="5"/>
  <c r="BB3" i="5"/>
  <c r="BA3" i="5"/>
  <c r="AZ3" i="5"/>
  <c r="AY3" i="5"/>
  <c r="AJ3" i="5"/>
  <c r="AI3" i="5"/>
  <c r="AH3" i="5"/>
  <c r="AG3" i="5"/>
  <c r="AB3" i="5"/>
  <c r="AA3" i="5"/>
  <c r="Z3" i="5"/>
  <c r="Y3" i="5"/>
  <c r="S3" i="5"/>
  <c r="R3" i="5"/>
  <c r="Q3" i="5"/>
  <c r="P3" i="5"/>
  <c r="J3" i="5"/>
  <c r="G3" i="5"/>
  <c r="E3" i="5"/>
  <c r="AK138" i="5" l="1"/>
  <c r="AI138" i="5" s="1"/>
  <c r="AA74" i="5"/>
  <c r="Z93" i="5"/>
  <c r="AH150" i="5"/>
  <c r="R52" i="5"/>
  <c r="R112" i="5"/>
  <c r="Q29" i="5"/>
  <c r="R29" i="5"/>
  <c r="AA29" i="5"/>
  <c r="Z29" i="5"/>
  <c r="R7" i="5"/>
  <c r="Q7" i="5"/>
  <c r="I89" i="5"/>
  <c r="H89" i="5"/>
  <c r="AH66" i="5"/>
  <c r="Z52" i="5"/>
  <c r="Q74" i="5"/>
  <c r="Q93" i="5"/>
  <c r="AA7" i="5"/>
  <c r="AH138" i="5" l="1"/>
  <c r="AI139" i="5"/>
  <c r="V51" i="22254" l="1"/>
  <c r="V50" i="22254"/>
  <c r="V49" i="22254"/>
  <c r="V48" i="22254"/>
  <c r="V47" i="22254"/>
  <c r="V46" i="22254"/>
  <c r="V45" i="22254"/>
  <c r="V44" i="22254"/>
  <c r="V43" i="22254"/>
  <c r="V42" i="22254"/>
  <c r="DP3" i="24" l="1"/>
  <c r="CB4" i="24"/>
  <c r="CB5" i="24"/>
  <c r="CB6" i="24"/>
  <c r="CB7" i="24"/>
  <c r="CB8" i="24"/>
  <c r="CB9" i="24"/>
  <c r="CB10" i="24"/>
  <c r="CB11" i="24"/>
  <c r="CB12" i="24"/>
  <c r="CB13" i="24"/>
  <c r="CB14" i="24"/>
  <c r="CB3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arima_t</author>
  </authors>
  <commentList>
    <comment ref="G12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>【定価訂正】
DFN・FAN・KA-125/E
CG-254/G・HB全機種
【原価訂正】
ほぼ全ネポン製品</t>
        </r>
      </text>
    </comment>
    <comment ref="G13" authorId="0" shapeId="0" xr:uid="{00000000-0006-0000-0000-000002000000}">
      <text>
        <r>
          <rPr>
            <sz val="9"/>
            <color indexed="81"/>
            <rFont val="ＭＳ Ｐゴシック"/>
            <family val="3"/>
            <charset val="128"/>
          </rPr>
          <t>・62期6月1日からの部品価格UPを反映
・管材、バルブ類　価格見直し（樹脂系を除く）</t>
        </r>
      </text>
    </comment>
  </commentList>
</comments>
</file>

<file path=xl/sharedStrings.xml><?xml version="1.0" encoding="utf-8"?>
<sst xmlns="http://schemas.openxmlformats.org/spreadsheetml/2006/main" count="9348" uniqueCount="3354">
  <si>
    <t>一般見積価格</t>
    <rPh sb="0" eb="2">
      <t>イッパン</t>
    </rPh>
    <rPh sb="2" eb="4">
      <t>ミツモリ</t>
    </rPh>
    <rPh sb="4" eb="6">
      <t>カカク</t>
    </rPh>
    <phoneticPr fontId="2"/>
  </si>
  <si>
    <t>価格改定</t>
    <rPh sb="0" eb="2">
      <t>カカク</t>
    </rPh>
    <rPh sb="2" eb="4">
      <t>カイテイ</t>
    </rPh>
    <phoneticPr fontId="2"/>
  </si>
  <si>
    <t>2025・3</t>
    <phoneticPr fontId="2"/>
  </si>
  <si>
    <t>ﾈﾎﾟﾝ製品原価修正</t>
    <rPh sb="4" eb="5">
      <t>セイ</t>
    </rPh>
    <rPh sb="5" eb="6">
      <t>ヒン</t>
    </rPh>
    <rPh sb="6" eb="8">
      <t>ゲンカ</t>
    </rPh>
    <rPh sb="8" eb="10">
      <t>シュウセイ</t>
    </rPh>
    <phoneticPr fontId="2"/>
  </si>
  <si>
    <t>'08　04　25</t>
    <phoneticPr fontId="2"/>
  </si>
  <si>
    <t>'08　05　30</t>
    <phoneticPr fontId="2"/>
  </si>
  <si>
    <t>'08  12  02</t>
    <phoneticPr fontId="2"/>
  </si>
  <si>
    <t>BTU金額改定</t>
    <rPh sb="3" eb="5">
      <t>キンガク</t>
    </rPh>
    <rPh sb="5" eb="7">
      <t>カイテイ</t>
    </rPh>
    <phoneticPr fontId="2"/>
  </si>
  <si>
    <t>'09　04　01</t>
    <phoneticPr fontId="2"/>
  </si>
  <si>
    <t>仕入製品価格改訂</t>
    <rPh sb="0" eb="2">
      <t>シイレ</t>
    </rPh>
    <rPh sb="2" eb="4">
      <t>セイヒン</t>
    </rPh>
    <rPh sb="4" eb="6">
      <t>カカク</t>
    </rPh>
    <rPh sb="6" eb="8">
      <t>カイテイ</t>
    </rPh>
    <phoneticPr fontId="2"/>
  </si>
  <si>
    <t>'10　12  17</t>
    <phoneticPr fontId="2"/>
  </si>
  <si>
    <t>製品価格改訂</t>
    <rPh sb="0" eb="2">
      <t>セイヒン</t>
    </rPh>
    <rPh sb="2" eb="4">
      <t>カカク</t>
    </rPh>
    <rPh sb="4" eb="6">
      <t>カイテイ</t>
    </rPh>
    <phoneticPr fontId="2"/>
  </si>
  <si>
    <t>'11　05　24</t>
    <phoneticPr fontId="2"/>
  </si>
  <si>
    <t>管材・バルブ・樹脂管等の価格UP（20％）およびネポン原価改訂</t>
    <rPh sb="0" eb="1">
      <t>クダ</t>
    </rPh>
    <rPh sb="1" eb="2">
      <t>ザイ</t>
    </rPh>
    <rPh sb="7" eb="9">
      <t>ジュシ</t>
    </rPh>
    <rPh sb="9" eb="10">
      <t>クダ</t>
    </rPh>
    <rPh sb="10" eb="11">
      <t>トウ</t>
    </rPh>
    <rPh sb="12" eb="14">
      <t>カカク</t>
    </rPh>
    <rPh sb="27" eb="29">
      <t>ゲンカ</t>
    </rPh>
    <rPh sb="29" eb="31">
      <t>カイテイ</t>
    </rPh>
    <phoneticPr fontId="2"/>
  </si>
  <si>
    <t>'14　08　18</t>
    <phoneticPr fontId="2"/>
  </si>
  <si>
    <t>'15　07　29</t>
    <phoneticPr fontId="2"/>
  </si>
  <si>
    <t>'19　05　08</t>
    <phoneticPr fontId="2"/>
  </si>
  <si>
    <t>'19　08　01</t>
    <phoneticPr fontId="2"/>
  </si>
  <si>
    <t>製品価格・工事原価・管材及び部材価格改訂</t>
    <rPh sb="0" eb="2">
      <t>セイヒン</t>
    </rPh>
    <rPh sb="2" eb="4">
      <t>カカク</t>
    </rPh>
    <rPh sb="5" eb="7">
      <t>コウジ</t>
    </rPh>
    <rPh sb="7" eb="9">
      <t>ゲンカ</t>
    </rPh>
    <rPh sb="10" eb="11">
      <t>カン</t>
    </rPh>
    <rPh sb="11" eb="12">
      <t>ザイ</t>
    </rPh>
    <rPh sb="12" eb="13">
      <t>オヨ</t>
    </rPh>
    <rPh sb="14" eb="16">
      <t>ブザイ</t>
    </rPh>
    <rPh sb="16" eb="18">
      <t>カカク</t>
    </rPh>
    <rPh sb="18" eb="20">
      <t>カイテイ</t>
    </rPh>
    <phoneticPr fontId="2"/>
  </si>
  <si>
    <t>'20　04　16</t>
    <phoneticPr fontId="2"/>
  </si>
  <si>
    <t>製品原価・部材価格改訂</t>
    <rPh sb="0" eb="2">
      <t>セイヒン</t>
    </rPh>
    <rPh sb="2" eb="4">
      <t>ゲンカ</t>
    </rPh>
    <rPh sb="5" eb="7">
      <t>ブザイ</t>
    </rPh>
    <rPh sb="7" eb="9">
      <t>カカク</t>
    </rPh>
    <rPh sb="9" eb="11">
      <t>カイテイ</t>
    </rPh>
    <phoneticPr fontId="2"/>
  </si>
  <si>
    <t>'21　05　31</t>
    <phoneticPr fontId="2"/>
  </si>
  <si>
    <t>製品価格・管材及び部材価格改訂</t>
    <phoneticPr fontId="2"/>
  </si>
  <si>
    <t>22  03  28</t>
    <phoneticPr fontId="2"/>
  </si>
  <si>
    <t>製品価格改訂</t>
    <rPh sb="4" eb="6">
      <t>カイテイ</t>
    </rPh>
    <phoneticPr fontId="2"/>
  </si>
  <si>
    <t>23  03  10</t>
    <phoneticPr fontId="2"/>
  </si>
  <si>
    <t>製品・部材価格、人工単価改訂</t>
    <rPh sb="3" eb="5">
      <t>ブザイ</t>
    </rPh>
    <rPh sb="5" eb="7">
      <t>カカク</t>
    </rPh>
    <rPh sb="8" eb="10">
      <t>ニンク</t>
    </rPh>
    <rPh sb="10" eb="12">
      <t>タンカ</t>
    </rPh>
    <rPh sb="12" eb="14">
      <t>カイテイ</t>
    </rPh>
    <phoneticPr fontId="2"/>
  </si>
  <si>
    <t>24  03  29</t>
    <phoneticPr fontId="2"/>
  </si>
  <si>
    <t>製品・部材価格改訂</t>
    <rPh sb="3" eb="5">
      <t>ブザイ</t>
    </rPh>
    <rPh sb="5" eb="7">
      <t>カカク</t>
    </rPh>
    <rPh sb="7" eb="9">
      <t>カイテイ</t>
    </rPh>
    <phoneticPr fontId="2"/>
  </si>
  <si>
    <t>25  03  25</t>
    <phoneticPr fontId="2"/>
  </si>
  <si>
    <t>製品・部材・管材価格改訂</t>
    <rPh sb="3" eb="5">
      <t>ブザイ</t>
    </rPh>
    <rPh sb="6" eb="8">
      <t>カンザイ</t>
    </rPh>
    <rPh sb="8" eb="10">
      <t>カカク</t>
    </rPh>
    <rPh sb="10" eb="12">
      <t>カイテイ</t>
    </rPh>
    <phoneticPr fontId="2"/>
  </si>
  <si>
    <t>塩ビ管原価修正</t>
    <rPh sb="0" eb="1">
      <t>エン</t>
    </rPh>
    <rPh sb="2" eb="3">
      <t>カン</t>
    </rPh>
    <rPh sb="3" eb="5">
      <t>ゲンカ</t>
    </rPh>
    <rPh sb="5" eb="7">
      <t>シュウセイ</t>
    </rPh>
    <phoneticPr fontId="2"/>
  </si>
  <si>
    <t>'25　03　25</t>
    <phoneticPr fontId="2"/>
  </si>
  <si>
    <t>ST熱交換器原価修正</t>
    <rPh sb="2" eb="3">
      <t>ネツ</t>
    </rPh>
    <rPh sb="3" eb="5">
      <t>コウカン</t>
    </rPh>
    <rPh sb="5" eb="6">
      <t>キ</t>
    </rPh>
    <rPh sb="6" eb="8">
      <t>ゲンカ</t>
    </rPh>
    <rPh sb="8" eb="10">
      <t>シュウセイ</t>
    </rPh>
    <phoneticPr fontId="2"/>
  </si>
  <si>
    <t>'07　07　17</t>
    <phoneticPr fontId="2"/>
  </si>
  <si>
    <t>標準項修正</t>
    <rPh sb="0" eb="2">
      <t>ヒョウジュン</t>
    </rPh>
    <rPh sb="2" eb="3">
      <t>コウ</t>
    </rPh>
    <rPh sb="3" eb="5">
      <t>シュウセイ</t>
    </rPh>
    <phoneticPr fontId="2"/>
  </si>
  <si>
    <t>'19　11　06</t>
    <phoneticPr fontId="2"/>
  </si>
  <si>
    <t>22　07　14</t>
    <phoneticPr fontId="2"/>
  </si>
  <si>
    <t>項目表</t>
    <rPh sb="0" eb="2">
      <t>コウモク</t>
    </rPh>
    <rPh sb="2" eb="3">
      <t>ヒョウ</t>
    </rPh>
    <phoneticPr fontId="2"/>
  </si>
  <si>
    <t>E3</t>
    <phoneticPr fontId="2"/>
  </si>
  <si>
    <t>E4</t>
  </si>
  <si>
    <t>主項目</t>
    <rPh sb="0" eb="1">
      <t>シュ</t>
    </rPh>
    <rPh sb="1" eb="3">
      <t>コウモク</t>
    </rPh>
    <phoneticPr fontId="2"/>
  </si>
  <si>
    <t>工単価</t>
    <rPh sb="0" eb="1">
      <t>コウ</t>
    </rPh>
    <rPh sb="1" eb="3">
      <t>タンカ</t>
    </rPh>
    <phoneticPr fontId="2"/>
  </si>
  <si>
    <t>工原価</t>
    <rPh sb="0" eb="1">
      <t>コウ</t>
    </rPh>
    <rPh sb="1" eb="3">
      <t>ゲンカ</t>
    </rPh>
    <phoneticPr fontId="2"/>
  </si>
  <si>
    <t>G3</t>
    <phoneticPr fontId="2"/>
  </si>
  <si>
    <t>G4</t>
  </si>
  <si>
    <t>G6</t>
  </si>
  <si>
    <t>b3</t>
    <phoneticPr fontId="2"/>
  </si>
  <si>
    <t>ボイラ及びボイラ回り設備工事</t>
    <rPh sb="3" eb="4">
      <t>オヨ</t>
    </rPh>
    <rPh sb="8" eb="9">
      <t>キカイマワ</t>
    </rPh>
    <rPh sb="10" eb="14">
      <t>セツビコウジ</t>
    </rPh>
    <phoneticPr fontId="2"/>
  </si>
  <si>
    <t>式</t>
    <rPh sb="0" eb="1">
      <t>シキ</t>
    </rPh>
    <phoneticPr fontId="2"/>
  </si>
  <si>
    <t>機材運搬費</t>
    <rPh sb="0" eb="2">
      <t>キザイ</t>
    </rPh>
    <rPh sb="2" eb="4">
      <t>ウンパン</t>
    </rPh>
    <rPh sb="4" eb="5">
      <t>ヒ</t>
    </rPh>
    <phoneticPr fontId="2"/>
  </si>
  <si>
    <t>井関農機株式会社</t>
    <rPh sb="0" eb="4">
      <t>イセキノウキ</t>
    </rPh>
    <rPh sb="4" eb="8">
      <t>カブシキガイシャ</t>
    </rPh>
    <phoneticPr fontId="2"/>
  </si>
  <si>
    <t>ボイラ室内設備工事</t>
    <rPh sb="3" eb="5">
      <t>シツナイ</t>
    </rPh>
    <rPh sb="5" eb="9">
      <t>セツビコウジ</t>
    </rPh>
    <phoneticPr fontId="2"/>
  </si>
  <si>
    <t>ｾｯﾄ</t>
    <phoneticPr fontId="2"/>
  </si>
  <si>
    <t>試運転調整費</t>
    <rPh sb="0" eb="3">
      <t>シウンテン</t>
    </rPh>
    <rPh sb="3" eb="6">
      <t>チョウセイヒ</t>
    </rPh>
    <phoneticPr fontId="2"/>
  </si>
  <si>
    <t>渡辺パイプ株式会社</t>
    <rPh sb="0" eb="2">
      <t>ワタナベ</t>
    </rPh>
    <rPh sb="5" eb="9">
      <t>カブシキガイシャ</t>
    </rPh>
    <phoneticPr fontId="2"/>
  </si>
  <si>
    <t>ボイラ回り設備工事</t>
    <rPh sb="3" eb="4">
      <t>マワ</t>
    </rPh>
    <rPh sb="5" eb="9">
      <t>セツビコウジ</t>
    </rPh>
    <phoneticPr fontId="2"/>
  </si>
  <si>
    <t>組</t>
    <rPh sb="0" eb="1">
      <t>ク</t>
    </rPh>
    <phoneticPr fontId="2"/>
  </si>
  <si>
    <t>現場諸経費</t>
    <rPh sb="0" eb="2">
      <t>ゲンバ</t>
    </rPh>
    <rPh sb="2" eb="5">
      <t>ショケイヒ</t>
    </rPh>
    <phoneticPr fontId="2"/>
  </si>
  <si>
    <t>東海物産株式会社</t>
    <rPh sb="0" eb="2">
      <t>トウカイ</t>
    </rPh>
    <rPh sb="2" eb="4">
      <t>ブッサン</t>
    </rPh>
    <rPh sb="4" eb="8">
      <t>カブシキガイシャ</t>
    </rPh>
    <phoneticPr fontId="2"/>
  </si>
  <si>
    <t>機械室内設備工事</t>
    <rPh sb="0" eb="2">
      <t>キカイ</t>
    </rPh>
    <rPh sb="2" eb="4">
      <t>シツナイ</t>
    </rPh>
    <rPh sb="4" eb="8">
      <t>セツビコウジ</t>
    </rPh>
    <phoneticPr fontId="2"/>
  </si>
  <si>
    <t>ﾕﾆｯﾄ</t>
    <phoneticPr fontId="2"/>
  </si>
  <si>
    <t>機材小運搬費</t>
    <rPh sb="0" eb="2">
      <t>キザイ</t>
    </rPh>
    <rPh sb="2" eb="3">
      <t>コ</t>
    </rPh>
    <rPh sb="3" eb="6">
      <t>ウンパンヒ</t>
    </rPh>
    <phoneticPr fontId="2"/>
  </si>
  <si>
    <t>イノチオアグリ株式会社</t>
    <rPh sb="7" eb="11">
      <t>カブシキガイシャ</t>
    </rPh>
    <phoneticPr fontId="2"/>
  </si>
  <si>
    <t>地中メイン配管設備工事</t>
    <rPh sb="0" eb="2">
      <t>チチュウ</t>
    </rPh>
    <rPh sb="5" eb="7">
      <t>ハイカン</t>
    </rPh>
    <rPh sb="7" eb="9">
      <t>セツビ</t>
    </rPh>
    <rPh sb="9" eb="11">
      <t>コウジ</t>
    </rPh>
    <phoneticPr fontId="2"/>
  </si>
  <si>
    <t>ﾀﾞｰｽ</t>
    <phoneticPr fontId="2"/>
  </si>
  <si>
    <t>現場立会い検査費</t>
    <rPh sb="0" eb="2">
      <t>ゲンバ</t>
    </rPh>
    <rPh sb="2" eb="4">
      <t>タチア</t>
    </rPh>
    <rPh sb="5" eb="8">
      <t>ケンサヒ</t>
    </rPh>
    <phoneticPr fontId="2"/>
  </si>
  <si>
    <t>カネコ種苗株式会社</t>
    <rPh sb="3" eb="5">
      <t>シュビョウ</t>
    </rPh>
    <rPh sb="5" eb="9">
      <t>カブシキガイシャ</t>
    </rPh>
    <phoneticPr fontId="2"/>
  </si>
  <si>
    <t>メイン配管設備工事</t>
    <rPh sb="3" eb="5">
      <t>ハイカン</t>
    </rPh>
    <rPh sb="5" eb="9">
      <t>セツビコウジ</t>
    </rPh>
    <phoneticPr fontId="2"/>
  </si>
  <si>
    <t>基</t>
    <rPh sb="0" eb="1">
      <t>キ</t>
    </rPh>
    <phoneticPr fontId="2"/>
  </si>
  <si>
    <t>消防関連打合せ費用</t>
    <phoneticPr fontId="2"/>
  </si>
  <si>
    <t>イワタニアグリグリーン株式会社</t>
    <rPh sb="11" eb="15">
      <t>カブシキガイシャ</t>
    </rPh>
    <phoneticPr fontId="2"/>
  </si>
  <si>
    <t>主要機器機材設備工事</t>
    <rPh sb="0" eb="2">
      <t>シュヨウ</t>
    </rPh>
    <rPh sb="2" eb="4">
      <t>キキ</t>
    </rPh>
    <rPh sb="4" eb="6">
      <t>キザイ</t>
    </rPh>
    <rPh sb="6" eb="10">
      <t>セツビコウジ</t>
    </rPh>
    <phoneticPr fontId="2"/>
  </si>
  <si>
    <t>台</t>
    <rPh sb="0" eb="1">
      <t>ダイ</t>
    </rPh>
    <phoneticPr fontId="2"/>
  </si>
  <si>
    <t>大気汚染防止法関連打合せ費用</t>
    <phoneticPr fontId="2"/>
  </si>
  <si>
    <t>タキイ種苗株式会社</t>
    <rPh sb="3" eb="5">
      <t>シュビョウ</t>
    </rPh>
    <rPh sb="5" eb="7">
      <t>カブシキ</t>
    </rPh>
    <rPh sb="7" eb="9">
      <t>ガイシャ</t>
    </rPh>
    <phoneticPr fontId="2"/>
  </si>
  <si>
    <t>CO2施用設備工事</t>
    <rPh sb="3" eb="5">
      <t>セヨウ</t>
    </rPh>
    <rPh sb="5" eb="7">
      <t>セツビ</t>
    </rPh>
    <rPh sb="7" eb="9">
      <t>コウジ</t>
    </rPh>
    <phoneticPr fontId="2"/>
  </si>
  <si>
    <t>個</t>
    <rPh sb="0" eb="1">
      <t>コ</t>
    </rPh>
    <phoneticPr fontId="2"/>
  </si>
  <si>
    <t>消防立会い検査費</t>
    <rPh sb="0" eb="2">
      <t>ショウボウ</t>
    </rPh>
    <rPh sb="2" eb="4">
      <t>タチア</t>
    </rPh>
    <rPh sb="5" eb="8">
      <t>ケンサヒ</t>
    </rPh>
    <phoneticPr fontId="2"/>
  </si>
  <si>
    <t>トヨタネ株式会社</t>
    <rPh sb="4" eb="8">
      <t>カブシキガイシャ</t>
    </rPh>
    <phoneticPr fontId="2"/>
  </si>
  <si>
    <t>---------------</t>
    <phoneticPr fontId="2"/>
  </si>
  <si>
    <t>本</t>
    <rPh sb="0" eb="1">
      <t>ホン</t>
    </rPh>
    <phoneticPr fontId="2"/>
  </si>
  <si>
    <t>タンク水張り検査費</t>
    <rPh sb="3" eb="5">
      <t>ミズハ</t>
    </rPh>
    <rPh sb="6" eb="9">
      <t>ケンサヒ</t>
    </rPh>
    <phoneticPr fontId="2"/>
  </si>
  <si>
    <t>佐藤商事株式会社　神奈川支店</t>
    <rPh sb="0" eb="2">
      <t>サトウ</t>
    </rPh>
    <rPh sb="2" eb="4">
      <t>ショウジ</t>
    </rPh>
    <rPh sb="4" eb="8">
      <t>カブシキガイシャ</t>
    </rPh>
    <rPh sb="9" eb="12">
      <t>カナガワ</t>
    </rPh>
    <rPh sb="12" eb="14">
      <t>シテン</t>
    </rPh>
    <phoneticPr fontId="2"/>
  </si>
  <si>
    <t>温室内暖房設備工事</t>
    <rPh sb="0" eb="3">
      <t>オンシツナイ</t>
    </rPh>
    <rPh sb="3" eb="5">
      <t>ダンボウ</t>
    </rPh>
    <rPh sb="5" eb="9">
      <t>セツビコウジ</t>
    </rPh>
    <phoneticPr fontId="2"/>
  </si>
  <si>
    <t>巻</t>
    <rPh sb="0" eb="1">
      <t>マキ</t>
    </rPh>
    <phoneticPr fontId="2"/>
  </si>
  <si>
    <t>防油堤・基礎工事費</t>
    <rPh sb="0" eb="1">
      <t>ボウ</t>
    </rPh>
    <rPh sb="1" eb="2">
      <t>ユ</t>
    </rPh>
    <rPh sb="2" eb="3">
      <t>テイ</t>
    </rPh>
    <rPh sb="4" eb="6">
      <t>キソ</t>
    </rPh>
    <rPh sb="6" eb="9">
      <t>コウジヒ</t>
    </rPh>
    <phoneticPr fontId="2"/>
  </si>
  <si>
    <t>ﾔﾝﾏｰｸﾞﾘｰﾝｼｽﾃﾑ株式会社</t>
    <rPh sb="13" eb="17">
      <t>カブシキガイシャ</t>
    </rPh>
    <phoneticPr fontId="2"/>
  </si>
  <si>
    <t>温室内配管設備工事</t>
    <rPh sb="0" eb="3">
      <t>オンシツナイ</t>
    </rPh>
    <rPh sb="3" eb="5">
      <t>ハイカン</t>
    </rPh>
    <phoneticPr fontId="2"/>
  </si>
  <si>
    <t>缶</t>
    <rPh sb="0" eb="1">
      <t>カン</t>
    </rPh>
    <phoneticPr fontId="2"/>
  </si>
  <si>
    <t>油水分離槽工事</t>
    <rPh sb="0" eb="1">
      <t>アブラ</t>
    </rPh>
    <rPh sb="1" eb="2">
      <t>ミズ</t>
    </rPh>
    <rPh sb="2" eb="4">
      <t>ブンリ</t>
    </rPh>
    <rPh sb="4" eb="5">
      <t>ソウ</t>
    </rPh>
    <rPh sb="5" eb="7">
      <t>コウジ</t>
    </rPh>
    <phoneticPr fontId="2"/>
  </si>
  <si>
    <t>サンキンB&amp;G株式会社</t>
    <rPh sb="7" eb="11">
      <t>カブシキガイシャ</t>
    </rPh>
    <phoneticPr fontId="2"/>
  </si>
  <si>
    <t>温室内設備工事</t>
    <rPh sb="0" eb="2">
      <t>オンシツナイ</t>
    </rPh>
    <rPh sb="2" eb="3">
      <t>ナイ</t>
    </rPh>
    <rPh sb="3" eb="7">
      <t>セツビコウジ</t>
    </rPh>
    <phoneticPr fontId="2"/>
  </si>
  <si>
    <t>m</t>
    <phoneticPr fontId="2"/>
  </si>
  <si>
    <t>道路横断補強工事</t>
    <rPh sb="0" eb="2">
      <t>ドウロ</t>
    </rPh>
    <rPh sb="2" eb="4">
      <t>オウダン</t>
    </rPh>
    <rPh sb="4" eb="6">
      <t>ホキョウ</t>
    </rPh>
    <rPh sb="6" eb="8">
      <t>コウジ</t>
    </rPh>
    <phoneticPr fontId="2"/>
  </si>
  <si>
    <t>株式会社誠和。</t>
    <rPh sb="0" eb="2">
      <t>カブシキ</t>
    </rPh>
    <rPh sb="2" eb="4">
      <t>カイシャ</t>
    </rPh>
    <rPh sb="4" eb="6">
      <t>セイワ</t>
    </rPh>
    <phoneticPr fontId="2"/>
  </si>
  <si>
    <t>温室内温風暖房設備工事</t>
    <rPh sb="0" eb="2">
      <t>オンシツナイ</t>
    </rPh>
    <rPh sb="2" eb="3">
      <t>ナイ</t>
    </rPh>
    <rPh sb="3" eb="5">
      <t>オンプウ</t>
    </rPh>
    <rPh sb="5" eb="7">
      <t>ダンボウ</t>
    </rPh>
    <rPh sb="7" eb="11">
      <t>セツビコウジ</t>
    </rPh>
    <phoneticPr fontId="2"/>
  </si>
  <si>
    <t>㎡</t>
    <phoneticPr fontId="2"/>
  </si>
  <si>
    <t>塗装補修工事</t>
    <rPh sb="0" eb="2">
      <t>トソウ</t>
    </rPh>
    <rPh sb="2" eb="6">
      <t>ホシュウコウジ</t>
    </rPh>
    <phoneticPr fontId="2"/>
  </si>
  <si>
    <t>ｼｰｱｲﾏﾃｯｸｽ株式会社</t>
    <rPh sb="9" eb="13">
      <t>カブシキガイシャ</t>
    </rPh>
    <phoneticPr fontId="2"/>
  </si>
  <si>
    <t>温風暖房設備工事</t>
    <rPh sb="0" eb="2">
      <t>オンプウ</t>
    </rPh>
    <rPh sb="2" eb="4">
      <t>ダンボウ</t>
    </rPh>
    <rPh sb="4" eb="6">
      <t>セツビ</t>
    </rPh>
    <rPh sb="6" eb="8">
      <t>コウジ</t>
    </rPh>
    <phoneticPr fontId="2"/>
  </si>
  <si>
    <t>㎥</t>
    <phoneticPr fontId="2"/>
  </si>
  <si>
    <t>躯体補修工事</t>
    <rPh sb="0" eb="2">
      <t>クタイ</t>
    </rPh>
    <rPh sb="2" eb="6">
      <t>ホシュウコウジ</t>
    </rPh>
    <phoneticPr fontId="2"/>
  </si>
  <si>
    <t>グリーンソーラ及びグリーンソーラ廻り設備工事</t>
    <rPh sb="7" eb="8">
      <t>オヨ</t>
    </rPh>
    <rPh sb="16" eb="17">
      <t>マワ</t>
    </rPh>
    <rPh sb="18" eb="20">
      <t>セツビ</t>
    </rPh>
    <rPh sb="20" eb="22">
      <t>コウジ</t>
    </rPh>
    <phoneticPr fontId="2"/>
  </si>
  <si>
    <t>ﾘｯﾄﾙ</t>
    <phoneticPr fontId="2"/>
  </si>
  <si>
    <t>掘削工事費</t>
    <rPh sb="0" eb="2">
      <t>クッサク</t>
    </rPh>
    <rPh sb="2" eb="5">
      <t>コウジヒ</t>
    </rPh>
    <phoneticPr fontId="2"/>
  </si>
  <si>
    <t>株式会社大仙</t>
    <rPh sb="0" eb="4">
      <t>カブシキガイシャ</t>
    </rPh>
    <rPh sb="4" eb="5">
      <t>ダイ</t>
    </rPh>
    <rPh sb="5" eb="6">
      <t>ダイセン</t>
    </rPh>
    <phoneticPr fontId="2"/>
  </si>
  <si>
    <t>循環扇設備工事</t>
    <rPh sb="0" eb="2">
      <t>ジュンカン</t>
    </rPh>
    <rPh sb="2" eb="3">
      <t>オウギ</t>
    </rPh>
    <rPh sb="3" eb="5">
      <t>セツビ</t>
    </rPh>
    <rPh sb="5" eb="7">
      <t>コウジ</t>
    </rPh>
    <phoneticPr fontId="2"/>
  </si>
  <si>
    <t>袋</t>
    <rPh sb="0" eb="1">
      <t>フクロ</t>
    </rPh>
    <phoneticPr fontId="2"/>
  </si>
  <si>
    <t>残土処理工事</t>
    <rPh sb="0" eb="2">
      <t>ザンド</t>
    </rPh>
    <rPh sb="2" eb="6">
      <t>ショリコウジ</t>
    </rPh>
    <phoneticPr fontId="2"/>
  </si>
  <si>
    <t>株式会社大仙仙台支店</t>
    <rPh sb="0" eb="4">
      <t>カブシキガイシャ</t>
    </rPh>
    <rPh sb="4" eb="5">
      <t>ダイ</t>
    </rPh>
    <rPh sb="5" eb="6">
      <t>ダイセン</t>
    </rPh>
    <rPh sb="6" eb="8">
      <t>センダイ</t>
    </rPh>
    <rPh sb="8" eb="10">
      <t>シテン</t>
    </rPh>
    <phoneticPr fontId="2"/>
  </si>
  <si>
    <t>配管設備工事</t>
    <rPh sb="0" eb="2">
      <t>ハイカン</t>
    </rPh>
    <phoneticPr fontId="2"/>
  </si>
  <si>
    <t>ｋｇ</t>
    <phoneticPr fontId="2"/>
  </si>
  <si>
    <t>機械室建屋工事</t>
    <rPh sb="0" eb="3">
      <t>キカイシツ</t>
    </rPh>
    <rPh sb="3" eb="4">
      <t>タテ</t>
    </rPh>
    <rPh sb="4" eb="5">
      <t>ヤ</t>
    </rPh>
    <rPh sb="5" eb="7">
      <t>コウジ</t>
    </rPh>
    <phoneticPr fontId="2"/>
  </si>
  <si>
    <t>株式会社大仙東部支店</t>
    <rPh sb="0" eb="4">
      <t>カブシキガイシャ</t>
    </rPh>
    <rPh sb="4" eb="5">
      <t>ダイ</t>
    </rPh>
    <rPh sb="5" eb="6">
      <t>ダイセン</t>
    </rPh>
    <rPh sb="6" eb="8">
      <t>トウブ</t>
    </rPh>
    <rPh sb="8" eb="10">
      <t>シテン</t>
    </rPh>
    <phoneticPr fontId="2"/>
  </si>
  <si>
    <t>グリーンパッケージ設備工事</t>
    <rPh sb="9" eb="11">
      <t>セツビ</t>
    </rPh>
    <rPh sb="11" eb="13">
      <t>コウジ</t>
    </rPh>
    <phoneticPr fontId="2"/>
  </si>
  <si>
    <t>ﾄﾝ</t>
    <phoneticPr fontId="2"/>
  </si>
  <si>
    <t>消耗品雑材</t>
    <rPh sb="0" eb="3">
      <t>ショウモウヒン</t>
    </rPh>
    <rPh sb="3" eb="5">
      <t>ザツザイ</t>
    </rPh>
    <phoneticPr fontId="2"/>
  </si>
  <si>
    <t>株式会社大仙関東支社</t>
    <rPh sb="0" eb="4">
      <t>カブシキガイシャ</t>
    </rPh>
    <rPh sb="4" eb="5">
      <t>ダイ</t>
    </rPh>
    <rPh sb="5" eb="6">
      <t>ダイセン</t>
    </rPh>
    <rPh sb="6" eb="8">
      <t>カントウ</t>
    </rPh>
    <rPh sb="8" eb="10">
      <t>シシャ</t>
    </rPh>
    <phoneticPr fontId="2"/>
  </si>
  <si>
    <t>誰でもヒーポン設備工事</t>
    <rPh sb="0" eb="1">
      <t>ダレ</t>
    </rPh>
    <rPh sb="7" eb="9">
      <t>セツビ</t>
    </rPh>
    <rPh sb="9" eb="11">
      <t>コウジ</t>
    </rPh>
    <phoneticPr fontId="2"/>
  </si>
  <si>
    <t>株式会社大仙中部支社</t>
    <rPh sb="0" eb="4">
      <t>カブシキガイシャ</t>
    </rPh>
    <rPh sb="4" eb="5">
      <t>ダイ</t>
    </rPh>
    <rPh sb="5" eb="6">
      <t>ダイセン</t>
    </rPh>
    <rPh sb="6" eb="8">
      <t>チュウブ</t>
    </rPh>
    <rPh sb="8" eb="10">
      <t>シシャ</t>
    </rPh>
    <phoneticPr fontId="2"/>
  </si>
  <si>
    <t>アグリネット設備工事</t>
    <rPh sb="6" eb="8">
      <t>セツビ</t>
    </rPh>
    <rPh sb="8" eb="10">
      <t>コウジ</t>
    </rPh>
    <phoneticPr fontId="2"/>
  </si>
  <si>
    <t>株式会社大仙関西支社</t>
    <rPh sb="0" eb="4">
      <t>カブシキガイシャ</t>
    </rPh>
    <rPh sb="4" eb="5">
      <t>ダイ</t>
    </rPh>
    <rPh sb="5" eb="6">
      <t>ダイセン</t>
    </rPh>
    <rPh sb="6" eb="8">
      <t>カンサイ</t>
    </rPh>
    <rPh sb="8" eb="10">
      <t>シシャ</t>
    </rPh>
    <phoneticPr fontId="2"/>
  </si>
  <si>
    <t>土壌蒸気殺菌装置</t>
    <rPh sb="0" eb="2">
      <t>ドジョウ</t>
    </rPh>
    <rPh sb="2" eb="4">
      <t>ジョウキ</t>
    </rPh>
    <rPh sb="4" eb="6">
      <t>サッキン</t>
    </rPh>
    <rPh sb="6" eb="8">
      <t>ソウチ</t>
    </rPh>
    <phoneticPr fontId="2"/>
  </si>
  <si>
    <t>株式会社大仙四国支店</t>
    <rPh sb="0" eb="4">
      <t>カブシキガイシャ</t>
    </rPh>
    <rPh sb="4" eb="5">
      <t>ダイ</t>
    </rPh>
    <rPh sb="5" eb="6">
      <t>ダイセン</t>
    </rPh>
    <rPh sb="6" eb="8">
      <t>シコク</t>
    </rPh>
    <rPh sb="8" eb="9">
      <t>シシャ</t>
    </rPh>
    <rPh sb="9" eb="10">
      <t>ミセ</t>
    </rPh>
    <phoneticPr fontId="2"/>
  </si>
  <si>
    <t>圃場蒸気殺菌装置</t>
    <rPh sb="0" eb="1">
      <t>ホ</t>
    </rPh>
    <rPh sb="1" eb="2">
      <t>ジョウ</t>
    </rPh>
    <rPh sb="2" eb="4">
      <t>ジョウキ</t>
    </rPh>
    <rPh sb="4" eb="6">
      <t>サッキン</t>
    </rPh>
    <rPh sb="6" eb="8">
      <t>ソウチ</t>
    </rPh>
    <phoneticPr fontId="2"/>
  </si>
  <si>
    <t>株式会社大仙九州支社</t>
    <rPh sb="0" eb="4">
      <t>カブシキガイシャ</t>
    </rPh>
    <rPh sb="4" eb="5">
      <t>ダイ</t>
    </rPh>
    <rPh sb="5" eb="6">
      <t>ダイセン</t>
    </rPh>
    <rPh sb="6" eb="8">
      <t>キュウシュウ</t>
    </rPh>
    <rPh sb="8" eb="10">
      <t>シシャ</t>
    </rPh>
    <phoneticPr fontId="2"/>
  </si>
  <si>
    <t>G25</t>
    <phoneticPr fontId="2"/>
  </si>
  <si>
    <t>地中放熱管設備工事</t>
    <rPh sb="0" eb="2">
      <t>チチュウ</t>
    </rPh>
    <rPh sb="2" eb="4">
      <t>ホウネツカン</t>
    </rPh>
    <rPh sb="4" eb="5">
      <t>カン</t>
    </rPh>
    <rPh sb="5" eb="9">
      <t>セツビコウジ</t>
    </rPh>
    <phoneticPr fontId="2"/>
  </si>
  <si>
    <t>a</t>
    <phoneticPr fontId="2"/>
  </si>
  <si>
    <t>明友機工株式会社</t>
    <rPh sb="0" eb="2">
      <t>メイユウ</t>
    </rPh>
    <rPh sb="2" eb="4">
      <t>キコウ</t>
    </rPh>
    <rPh sb="4" eb="8">
      <t>カブシキガイシャ</t>
    </rPh>
    <phoneticPr fontId="2"/>
  </si>
  <si>
    <t>ベット配管設備工事</t>
    <rPh sb="3" eb="5">
      <t>ハイカン</t>
    </rPh>
    <rPh sb="5" eb="9">
      <t>セツビコウジ</t>
    </rPh>
    <phoneticPr fontId="2"/>
  </si>
  <si>
    <t>ha</t>
    <phoneticPr fontId="2"/>
  </si>
  <si>
    <t>富国工業株式会社</t>
    <rPh sb="0" eb="2">
      <t>フコク</t>
    </rPh>
    <rPh sb="2" eb="4">
      <t>コウギョウ</t>
    </rPh>
    <rPh sb="4" eb="8">
      <t>カブシキガイシャ</t>
    </rPh>
    <phoneticPr fontId="2"/>
  </si>
  <si>
    <t>養液加温設備工事</t>
    <rPh sb="0" eb="2">
      <t>ヨウエキ</t>
    </rPh>
    <rPh sb="2" eb="4">
      <t>カオン</t>
    </rPh>
    <rPh sb="4" eb="8">
      <t>セツビコウジ</t>
    </rPh>
    <phoneticPr fontId="2"/>
  </si>
  <si>
    <t>日之出産業株式会社</t>
    <rPh sb="0" eb="3">
      <t>ヒノデ</t>
    </rPh>
    <rPh sb="3" eb="5">
      <t>サンギョウ</t>
    </rPh>
    <rPh sb="5" eb="9">
      <t>カブシキガイシャ</t>
    </rPh>
    <phoneticPr fontId="2"/>
  </si>
  <si>
    <t>養液冷暖設備工事</t>
    <rPh sb="0" eb="2">
      <t>ヨウエキ</t>
    </rPh>
    <rPh sb="2" eb="3">
      <t>レイキャク</t>
    </rPh>
    <rPh sb="3" eb="4">
      <t>ダン</t>
    </rPh>
    <phoneticPr fontId="2"/>
  </si>
  <si>
    <t>株式会社松本産業</t>
    <rPh sb="0" eb="4">
      <t>カブシキガイシャ</t>
    </rPh>
    <rPh sb="4" eb="8">
      <t>マツモトサンギョウ</t>
    </rPh>
    <phoneticPr fontId="2"/>
  </si>
  <si>
    <t>温室空間冷房設備工事</t>
    <rPh sb="0" eb="2">
      <t>オンシツ</t>
    </rPh>
    <rPh sb="2" eb="4">
      <t>クウカン</t>
    </rPh>
    <rPh sb="4" eb="6">
      <t>レイボウ</t>
    </rPh>
    <rPh sb="6" eb="10">
      <t>セツビコウジ</t>
    </rPh>
    <phoneticPr fontId="2"/>
  </si>
  <si>
    <t>住栄農材株式会社</t>
    <rPh sb="0" eb="1">
      <t>スミ</t>
    </rPh>
    <rPh sb="1" eb="2">
      <t>エイ</t>
    </rPh>
    <rPh sb="2" eb="4">
      <t>ノウザイ</t>
    </rPh>
    <rPh sb="4" eb="8">
      <t>カブシキガイシャ</t>
    </rPh>
    <phoneticPr fontId="2"/>
  </si>
  <si>
    <t>八江ｸﾞﾘｰﾝﾎﾟｰﾄ株式会社</t>
    <rPh sb="0" eb="1">
      <t>ハチ</t>
    </rPh>
    <rPh sb="1" eb="2">
      <t>エ</t>
    </rPh>
    <rPh sb="9" eb="13">
      <t>カブシキガイシャ</t>
    </rPh>
    <phoneticPr fontId="2"/>
  </si>
  <si>
    <t>天窓関連設備機器</t>
    <rPh sb="0" eb="2">
      <t>テンマド</t>
    </rPh>
    <rPh sb="2" eb="4">
      <t>カンレン</t>
    </rPh>
    <rPh sb="4" eb="8">
      <t>セツビキキ</t>
    </rPh>
    <phoneticPr fontId="2"/>
  </si>
  <si>
    <t>未来のｱｸﾞﾘ株式会社</t>
    <rPh sb="0" eb="2">
      <t>ミライ</t>
    </rPh>
    <rPh sb="7" eb="11">
      <t>カブシキガイシャ</t>
    </rPh>
    <phoneticPr fontId="2"/>
  </si>
  <si>
    <t>温度制御設備機器</t>
    <rPh sb="0" eb="4">
      <t>オンドセイギョ</t>
    </rPh>
    <rPh sb="4" eb="6">
      <t>セツビコウジ</t>
    </rPh>
    <rPh sb="6" eb="8">
      <t>キキ</t>
    </rPh>
    <phoneticPr fontId="2"/>
  </si>
  <si>
    <t>株式会社タカミヤ</t>
    <rPh sb="0" eb="4">
      <t>カブシキガイシャ</t>
    </rPh>
    <phoneticPr fontId="2"/>
  </si>
  <si>
    <t>複合環境制御機器</t>
    <rPh sb="0" eb="4">
      <t>フクゴウカンキョウ</t>
    </rPh>
    <rPh sb="4" eb="6">
      <t>セイギョ</t>
    </rPh>
    <rPh sb="6" eb="8">
      <t>キキ</t>
    </rPh>
    <phoneticPr fontId="2"/>
  </si>
  <si>
    <t>アグリネット設備機器</t>
    <rPh sb="7" eb="8">
      <t>セツビ</t>
    </rPh>
    <rPh sb="8" eb="10">
      <t>キキ</t>
    </rPh>
    <phoneticPr fontId="2"/>
  </si>
  <si>
    <t>オイルタンク及びオイル配管設備工事</t>
    <rPh sb="6" eb="7">
      <t>オヨ</t>
    </rPh>
    <rPh sb="11" eb="13">
      <t>ハイカン</t>
    </rPh>
    <rPh sb="13" eb="15">
      <t>セツビ</t>
    </rPh>
    <rPh sb="15" eb="17">
      <t>コウジ</t>
    </rPh>
    <phoneticPr fontId="2"/>
  </si>
  <si>
    <t>オイルタンク設備工事</t>
    <rPh sb="6" eb="10">
      <t>セツビコウジ</t>
    </rPh>
    <phoneticPr fontId="2"/>
  </si>
  <si>
    <t>オイル配管設備工事</t>
    <rPh sb="3" eb="5">
      <t>オイルハイカン</t>
    </rPh>
    <rPh sb="5" eb="9">
      <t>セツビコウジ</t>
    </rPh>
    <phoneticPr fontId="2"/>
  </si>
  <si>
    <t>地下オイルタンク設備工事</t>
    <rPh sb="0" eb="2">
      <t>チカ</t>
    </rPh>
    <rPh sb="8" eb="12">
      <t>セツビコウジ</t>
    </rPh>
    <phoneticPr fontId="2"/>
  </si>
  <si>
    <t>G40</t>
    <phoneticPr fontId="2"/>
  </si>
  <si>
    <t>お打ち合わせ願います</t>
    <rPh sb="0" eb="4">
      <t>オウチア</t>
    </rPh>
    <rPh sb="6" eb="7">
      <t>ネガ</t>
    </rPh>
    <phoneticPr fontId="2"/>
  </si>
  <si>
    <t>消火器・標識設備工事</t>
    <rPh sb="0" eb="2">
      <t>ショウカ</t>
    </rPh>
    <rPh sb="2" eb="3">
      <t>キ</t>
    </rPh>
    <rPh sb="4" eb="6">
      <t>ヒョウシキ</t>
    </rPh>
    <rPh sb="6" eb="10">
      <t>セツビコウジ</t>
    </rPh>
    <phoneticPr fontId="2"/>
  </si>
  <si>
    <t>ご注文後1週間でお渡しできます</t>
    <rPh sb="1" eb="3">
      <t>チュウモン</t>
    </rPh>
    <rPh sb="5" eb="7">
      <t>シュウカン</t>
    </rPh>
    <rPh sb="8" eb="10">
      <t>オワタ</t>
    </rPh>
    <phoneticPr fontId="2"/>
  </si>
  <si>
    <t>諸　経　費</t>
    <rPh sb="0" eb="5">
      <t>ショケイヒ</t>
    </rPh>
    <phoneticPr fontId="2"/>
  </si>
  <si>
    <t>ご注文後2週間でお渡しできます</t>
    <rPh sb="1" eb="3">
      <t>チュウモン</t>
    </rPh>
    <phoneticPr fontId="2"/>
  </si>
  <si>
    <t>ご注文後3週間でお渡しできます</t>
    <rPh sb="1" eb="3">
      <t>チュウモン</t>
    </rPh>
    <phoneticPr fontId="2"/>
  </si>
  <si>
    <t>ご注文後1ヶ月でお渡しできます</t>
    <rPh sb="1" eb="3">
      <t>チュウモン</t>
    </rPh>
    <rPh sb="4" eb="7">
      <t>イッカゲツ</t>
    </rPh>
    <rPh sb="8" eb="10">
      <t>オワタ</t>
    </rPh>
    <phoneticPr fontId="2"/>
  </si>
  <si>
    <t>ご注文後2ヶ月でお渡しできます</t>
    <rPh sb="1" eb="3">
      <t>チュウモン</t>
    </rPh>
    <rPh sb="4" eb="7">
      <t>イッカゲツ</t>
    </rPh>
    <rPh sb="8" eb="10">
      <t>オワタ</t>
    </rPh>
    <phoneticPr fontId="2"/>
  </si>
  <si>
    <t>ご注文後3ヶ月でお渡しできます</t>
    <rPh sb="1" eb="3">
      <t>チュウモン</t>
    </rPh>
    <rPh sb="4" eb="7">
      <t>イッカゲツ</t>
    </rPh>
    <rPh sb="8" eb="10">
      <t>オワタ</t>
    </rPh>
    <phoneticPr fontId="2"/>
  </si>
  <si>
    <t>ご注文後半年でお渡しできます</t>
    <rPh sb="1" eb="3">
      <t>チュウモン</t>
    </rPh>
    <rPh sb="4" eb="6">
      <t>ハントシ</t>
    </rPh>
    <phoneticPr fontId="2"/>
  </si>
  <si>
    <t>G50</t>
    <phoneticPr fontId="2"/>
  </si>
  <si>
    <t>搬入・設置・試運転渡し</t>
  </si>
  <si>
    <t>お打ち合わせ願います</t>
    <phoneticPr fontId="2"/>
  </si>
  <si>
    <t>現場館側渡し</t>
  </si>
  <si>
    <t>ご指定地車上渡し</t>
  </si>
  <si>
    <t>G60</t>
    <phoneticPr fontId="2"/>
  </si>
  <si>
    <t>月末〆翌月現金支払い</t>
  </si>
  <si>
    <t>月末〆の出来高払い（現金支払い）</t>
    <rPh sb="4" eb="7">
      <t>デキダカ</t>
    </rPh>
    <rPh sb="7" eb="8">
      <t>ハラ</t>
    </rPh>
    <phoneticPr fontId="2"/>
  </si>
  <si>
    <t>契約時1/3、中間1/3、完成時1/3（現金払い）</t>
    <rPh sb="0" eb="3">
      <t>ケイヤクジ</t>
    </rPh>
    <rPh sb="7" eb="9">
      <t>チュウカン</t>
    </rPh>
    <rPh sb="13" eb="16">
      <t>カンセイジ</t>
    </rPh>
    <rPh sb="20" eb="23">
      <t>ゲンキンバラ</t>
    </rPh>
    <phoneticPr fontId="2"/>
  </si>
  <si>
    <t>月末〆翌月支払い（90日手形）</t>
    <phoneticPr fontId="2"/>
  </si>
  <si>
    <t>月末〆翌月支払い（120日手形）</t>
    <phoneticPr fontId="2"/>
  </si>
  <si>
    <t>B80</t>
    <phoneticPr fontId="2"/>
  </si>
  <si>
    <t>見積外工事</t>
    <rPh sb="0" eb="2">
      <t>ミツ</t>
    </rPh>
    <rPh sb="2" eb="3">
      <t>ガイ</t>
    </rPh>
    <rPh sb="3" eb="5">
      <t>コウジ</t>
    </rPh>
    <phoneticPr fontId="2"/>
  </si>
  <si>
    <t>ﾎﾞｲﾗ室建屋工事</t>
    <rPh sb="4" eb="5">
      <t>シツ</t>
    </rPh>
    <rPh sb="5" eb="7">
      <t>タテヤ</t>
    </rPh>
    <rPh sb="7" eb="9">
      <t>コウジ</t>
    </rPh>
    <phoneticPr fontId="2"/>
  </si>
  <si>
    <t>ﾎﾞｲﾗ室の給排水･給排気設備工事</t>
    <rPh sb="4" eb="5">
      <t>シツ</t>
    </rPh>
    <rPh sb="6" eb="9">
      <t>キュウハイスイ</t>
    </rPh>
    <rPh sb="10" eb="13">
      <t>キュウハイキ</t>
    </rPh>
    <rPh sb="13" eb="15">
      <t>セツビ</t>
    </rPh>
    <rPh sb="15" eb="17">
      <t>コウジ</t>
    </rPh>
    <phoneticPr fontId="2"/>
  </si>
  <si>
    <t>ﾎﾞｲﾗ付近までの給排水工事</t>
    <rPh sb="4" eb="6">
      <t>フキン</t>
    </rPh>
    <rPh sb="9" eb="12">
      <t>キュウハイスイ</t>
    </rPh>
    <rPh sb="12" eb="14">
      <t>コウジ</t>
    </rPh>
    <phoneticPr fontId="2"/>
  </si>
  <si>
    <t>機械室までの給排水工事</t>
    <rPh sb="0" eb="3">
      <t>キカイシツ</t>
    </rPh>
    <rPh sb="6" eb="9">
      <t>キュウハイスイ</t>
    </rPh>
    <rPh sb="9" eb="11">
      <t>コウジ</t>
    </rPh>
    <phoneticPr fontId="2"/>
  </si>
  <si>
    <t>膨張ﾀﾝｸへの給水配管工事</t>
    <rPh sb="0" eb="2">
      <t>ボウチョウ</t>
    </rPh>
    <rPh sb="7" eb="9">
      <t>キュウスイ</t>
    </rPh>
    <rPh sb="9" eb="11">
      <t>ハイカン</t>
    </rPh>
    <rPh sb="11" eb="13">
      <t>コウジ</t>
    </rPh>
    <phoneticPr fontId="2"/>
  </si>
  <si>
    <t>燃料設備全ての工事</t>
    <rPh sb="0" eb="2">
      <t>ネンリョウ</t>
    </rPh>
    <rPh sb="2" eb="4">
      <t>セツビ</t>
    </rPh>
    <rPh sb="4" eb="5">
      <t>スベ</t>
    </rPh>
    <rPh sb="7" eb="9">
      <t>コウジ</t>
    </rPh>
    <phoneticPr fontId="2"/>
  </si>
  <si>
    <t>機器設備全ての工事</t>
    <rPh sb="0" eb="2">
      <t>キキ</t>
    </rPh>
    <rPh sb="2" eb="4">
      <t>セツビ</t>
    </rPh>
    <rPh sb="4" eb="5">
      <t>スベ</t>
    </rPh>
    <rPh sb="7" eb="9">
      <t>コウジ</t>
    </rPh>
    <phoneticPr fontId="2"/>
  </si>
  <si>
    <t>LPG燃料設備　全ての工事</t>
    <rPh sb="3" eb="5">
      <t>ネンリョウ</t>
    </rPh>
    <rPh sb="5" eb="7">
      <t>セツビ</t>
    </rPh>
    <rPh sb="8" eb="9">
      <t>スベ</t>
    </rPh>
    <rPh sb="11" eb="13">
      <t>コウジ</t>
    </rPh>
    <phoneticPr fontId="2"/>
  </si>
  <si>
    <t>油ﾀﾝｸ設備工事</t>
    <rPh sb="0" eb="1">
      <t>アブラ</t>
    </rPh>
    <rPh sb="4" eb="6">
      <t>セツビ</t>
    </rPh>
    <rPh sb="6" eb="8">
      <t>コウジ</t>
    </rPh>
    <phoneticPr fontId="2"/>
  </si>
  <si>
    <t>油配管設備工事</t>
    <rPh sb="0" eb="1">
      <t>アブラ</t>
    </rPh>
    <rPh sb="1" eb="3">
      <t>ハイカン</t>
    </rPh>
    <rPh sb="3" eb="7">
      <t>セツビコウジ</t>
    </rPh>
    <phoneticPr fontId="2"/>
  </si>
  <si>
    <t>防油堤及びﾀﾝｸ基礎工事</t>
    <rPh sb="0" eb="3">
      <t>ボウユテイ</t>
    </rPh>
    <rPh sb="3" eb="4">
      <t>オヨ</t>
    </rPh>
    <rPh sb="8" eb="12">
      <t>キソコウジ</t>
    </rPh>
    <phoneticPr fontId="2"/>
  </si>
  <si>
    <t>機器関係の基礎工事</t>
    <rPh sb="0" eb="4">
      <t>キキカンケイ</t>
    </rPh>
    <rPh sb="5" eb="9">
      <t>キソコウジ</t>
    </rPh>
    <phoneticPr fontId="2"/>
  </si>
  <si>
    <t>　-------------------</t>
    <phoneticPr fontId="2"/>
  </si>
  <si>
    <t>放熱配管材料及び取付工事</t>
    <rPh sb="0" eb="2">
      <t>ホウネツ</t>
    </rPh>
    <rPh sb="2" eb="4">
      <t>ハイカン</t>
    </rPh>
    <rPh sb="4" eb="5">
      <t>ザイ</t>
    </rPh>
    <rPh sb="5" eb="6">
      <t>リョウ</t>
    </rPh>
    <rPh sb="6" eb="7">
      <t>オヨ</t>
    </rPh>
    <rPh sb="8" eb="10">
      <t>トリツケ</t>
    </rPh>
    <rPh sb="10" eb="12">
      <t>コウジ</t>
    </rPh>
    <phoneticPr fontId="2"/>
  </si>
  <si>
    <t>配管用ﾋﾟｯﾄ工事</t>
    <rPh sb="0" eb="3">
      <t>ハイカンヨウ</t>
    </rPh>
    <rPh sb="7" eb="9">
      <t>コウジ</t>
    </rPh>
    <phoneticPr fontId="2"/>
  </si>
  <si>
    <t>埋設配管用掘削･埋め戻し工事</t>
    <rPh sb="0" eb="2">
      <t>マイセツ</t>
    </rPh>
    <rPh sb="2" eb="5">
      <t>ハイカンヨウ</t>
    </rPh>
    <rPh sb="5" eb="7">
      <t>クッサク</t>
    </rPh>
    <rPh sb="8" eb="9">
      <t>ウ</t>
    </rPh>
    <rPh sb="10" eb="11">
      <t>ウメモド</t>
    </rPh>
    <rPh sb="12" eb="14">
      <t>コウジ</t>
    </rPh>
    <phoneticPr fontId="2"/>
  </si>
  <si>
    <t>道路横断掘削･補強工事</t>
    <rPh sb="0" eb="4">
      <t>ドウロオウダン</t>
    </rPh>
    <rPh sb="4" eb="6">
      <t>クッサク</t>
    </rPh>
    <rPh sb="7" eb="9">
      <t>ホキョウ</t>
    </rPh>
    <rPh sb="9" eb="11">
      <t>コウジ</t>
    </rPh>
    <phoneticPr fontId="2"/>
  </si>
  <si>
    <t>掘削時の残土処理</t>
    <rPh sb="0" eb="2">
      <t>クッサク</t>
    </rPh>
    <rPh sb="2" eb="3">
      <t>トキ</t>
    </rPh>
    <rPh sb="4" eb="6">
      <t>ザンド</t>
    </rPh>
    <rPh sb="6" eb="8">
      <t>ショリ</t>
    </rPh>
    <phoneticPr fontId="2"/>
  </si>
  <si>
    <t xml:space="preserve">  -------------------</t>
    <phoneticPr fontId="2"/>
  </si>
  <si>
    <t>各機器の電源･制御配線工事</t>
    <rPh sb="0" eb="3">
      <t>カクキキ</t>
    </rPh>
    <rPh sb="4" eb="6">
      <t>デンゲン</t>
    </rPh>
    <rPh sb="7" eb="9">
      <t>セイギョ</t>
    </rPh>
    <rPh sb="9" eb="13">
      <t>ハイセンコウジ</t>
    </rPh>
    <phoneticPr fontId="2"/>
  </si>
  <si>
    <t>各機器の電源･制御･ｾﾝｻ配線工事</t>
    <rPh sb="0" eb="3">
      <t>カクキキ</t>
    </rPh>
    <rPh sb="4" eb="6">
      <t>デンゲン</t>
    </rPh>
    <rPh sb="7" eb="9">
      <t>セイギョ</t>
    </rPh>
    <rPh sb="13" eb="15">
      <t>ハイセン</t>
    </rPh>
    <rPh sb="15" eb="17">
      <t>コウジ</t>
    </rPh>
    <phoneticPr fontId="2"/>
  </si>
  <si>
    <t>各機器の電源･制御配線･制御盤取付工事</t>
    <rPh sb="0" eb="3">
      <t>カクキキ</t>
    </rPh>
    <rPh sb="4" eb="6">
      <t>デンゲン</t>
    </rPh>
    <rPh sb="7" eb="9">
      <t>セイギョ</t>
    </rPh>
    <rPh sb="9" eb="11">
      <t>ハイセン</t>
    </rPh>
    <rPh sb="12" eb="15">
      <t>セイギョバン</t>
    </rPh>
    <rPh sb="15" eb="17">
      <t>トリツケ</t>
    </rPh>
    <rPh sb="17" eb="19">
      <t>コウジ</t>
    </rPh>
    <phoneticPr fontId="2"/>
  </si>
  <si>
    <t>各機器の制御配線工事</t>
    <rPh sb="0" eb="3">
      <t>カクキキ</t>
    </rPh>
    <rPh sb="4" eb="6">
      <t>セイギョ</t>
    </rPh>
    <rPh sb="6" eb="10">
      <t>ハイセンコウジ</t>
    </rPh>
    <phoneticPr fontId="2"/>
  </si>
  <si>
    <t>温度制御設備工事</t>
    <rPh sb="0" eb="4">
      <t>オンドセイギョ</t>
    </rPh>
    <rPh sb="4" eb="8">
      <t>セツビコウジ</t>
    </rPh>
    <phoneticPr fontId="2"/>
  </si>
  <si>
    <t>電気設備機器及び配線工事</t>
    <rPh sb="0" eb="2">
      <t>デンキ</t>
    </rPh>
    <rPh sb="2" eb="4">
      <t>セツビ</t>
    </rPh>
    <rPh sb="4" eb="6">
      <t>キキ</t>
    </rPh>
    <rPh sb="6" eb="7">
      <t>オヨ</t>
    </rPh>
    <rPh sb="8" eb="10">
      <t>ハイセン</t>
    </rPh>
    <rPh sb="10" eb="12">
      <t>コウジ</t>
    </rPh>
    <phoneticPr fontId="2"/>
  </si>
  <si>
    <t>ｸﾗｳﾄﾞ通信･遠隔制御の月額利用料</t>
    <rPh sb="5" eb="7">
      <t>ツウシン</t>
    </rPh>
    <rPh sb="8" eb="10">
      <t>エンカク</t>
    </rPh>
    <rPh sb="10" eb="12">
      <t>セイギョ</t>
    </rPh>
    <rPh sb="13" eb="15">
      <t>ゲツガク</t>
    </rPh>
    <rPh sb="15" eb="18">
      <t>リヨウリョウ</t>
    </rPh>
    <phoneticPr fontId="2"/>
  </si>
  <si>
    <t>ｸﾗｳﾄﾞ通信の月額利用料</t>
    <rPh sb="5" eb="7">
      <t>ツウシン</t>
    </rPh>
    <rPh sb="8" eb="10">
      <t>ゲツガク</t>
    </rPh>
    <rPh sb="10" eb="13">
      <t>リヨウリョウ</t>
    </rPh>
    <phoneticPr fontId="2"/>
  </si>
  <si>
    <t>遠隔制御(MC)の月額利用料</t>
    <rPh sb="0" eb="2">
      <t>エンカク</t>
    </rPh>
    <rPh sb="2" eb="4">
      <t>セイギョ</t>
    </rPh>
    <rPh sb="9" eb="11">
      <t>ゲツガク</t>
    </rPh>
    <rPh sb="11" eb="14">
      <t>リヨウリョウ</t>
    </rPh>
    <phoneticPr fontId="2"/>
  </si>
  <si>
    <t>遠隔制御(CGC)の月額利用料</t>
    <rPh sb="0" eb="2">
      <t>エンカク</t>
    </rPh>
    <rPh sb="2" eb="4">
      <t>セイギョ</t>
    </rPh>
    <rPh sb="10" eb="12">
      <t>ゲツガク</t>
    </rPh>
    <rPh sb="12" eb="15">
      <t>リヨウリョウ</t>
    </rPh>
    <phoneticPr fontId="2"/>
  </si>
  <si>
    <t>温風暖房設備</t>
    <rPh sb="0" eb="2">
      <t>オンプウ</t>
    </rPh>
    <rPh sb="2" eb="4">
      <t>ダンボウ</t>
    </rPh>
    <rPh sb="4" eb="6">
      <t>セツビ</t>
    </rPh>
    <phoneticPr fontId="2"/>
  </si>
  <si>
    <t>温風暖房･炭酸ｶﾞｽ･複合環境設備</t>
    <rPh sb="0" eb="2">
      <t>オンプウ</t>
    </rPh>
    <rPh sb="2" eb="4">
      <t>ダンボウ</t>
    </rPh>
    <rPh sb="5" eb="7">
      <t>タンサン</t>
    </rPh>
    <rPh sb="11" eb="13">
      <t>フクゴウ</t>
    </rPh>
    <rPh sb="13" eb="15">
      <t>カンキョウ</t>
    </rPh>
    <rPh sb="15" eb="17">
      <t>セツビ</t>
    </rPh>
    <phoneticPr fontId="2"/>
  </si>
  <si>
    <t>ﾈﾎﾟﾝﾌｧﾝの取付金具及び取付工事</t>
    <rPh sb="8" eb="10">
      <t>トリツケ</t>
    </rPh>
    <rPh sb="10" eb="12">
      <t>カナグ</t>
    </rPh>
    <rPh sb="12" eb="13">
      <t>オヨ</t>
    </rPh>
    <rPh sb="14" eb="16">
      <t>トリツケ</t>
    </rPh>
    <rPh sb="16" eb="18">
      <t>コウジ</t>
    </rPh>
    <phoneticPr fontId="2"/>
  </si>
  <si>
    <t>機械周り配管工事</t>
    <rPh sb="0" eb="2">
      <t>キカイ</t>
    </rPh>
    <rPh sb="2" eb="3">
      <t>マワ</t>
    </rPh>
    <rPh sb="4" eb="6">
      <t>ハイカン</t>
    </rPh>
    <rPh sb="6" eb="8">
      <t>コウジ</t>
    </rPh>
    <phoneticPr fontId="2"/>
  </si>
  <si>
    <t>温室内配管工事</t>
    <rPh sb="0" eb="3">
      <t>オンシツナイ</t>
    </rPh>
    <rPh sb="3" eb="5">
      <t>ハイカン</t>
    </rPh>
    <rPh sb="5" eb="7">
      <t>コウジ</t>
    </rPh>
    <phoneticPr fontId="2"/>
  </si>
  <si>
    <t>栽培ﾍﾞｯﾄﾞへのﾎﾟﾘ管敷設工事</t>
    <rPh sb="0" eb="2">
      <t>サイバイ</t>
    </rPh>
    <rPh sb="12" eb="13">
      <t>カン</t>
    </rPh>
    <phoneticPr fontId="2"/>
  </si>
  <si>
    <t>温風ﾎﾟﾘﾀﾞｸﾄ敷設工事</t>
    <rPh sb="0" eb="2">
      <t>オンプウ</t>
    </rPh>
    <rPh sb="9" eb="11">
      <t>コウジ</t>
    </rPh>
    <phoneticPr fontId="2"/>
  </si>
  <si>
    <t>放熱管敷設工事</t>
    <rPh sb="0" eb="2">
      <t>ホウネツ</t>
    </rPh>
    <rPh sb="2" eb="3">
      <t>カン</t>
    </rPh>
    <rPh sb="3" eb="5">
      <t>フセツ</t>
    </rPh>
    <rPh sb="5" eb="7">
      <t>コウジ</t>
    </rPh>
    <phoneticPr fontId="2"/>
  </si>
  <si>
    <t>放熱管材料及び敷設工事</t>
    <rPh sb="0" eb="2">
      <t>ホウネツ</t>
    </rPh>
    <rPh sb="2" eb="3">
      <t>カン</t>
    </rPh>
    <rPh sb="3" eb="5">
      <t>フセツ</t>
    </rPh>
    <rPh sb="5" eb="6">
      <t>オヨ</t>
    </rPh>
    <rPh sb="7" eb="9">
      <t>フセツ</t>
    </rPh>
    <rPh sb="9" eb="11">
      <t>コウジ</t>
    </rPh>
    <phoneticPr fontId="2"/>
  </si>
  <si>
    <t>不整地･沈下によるﾚｰﾙ架台調整費用</t>
    <rPh sb="0" eb="2">
      <t>フセイ</t>
    </rPh>
    <rPh sb="2" eb="3">
      <t>チ</t>
    </rPh>
    <rPh sb="4" eb="6">
      <t>チンカ</t>
    </rPh>
    <rPh sb="12" eb="14">
      <t>カダイ</t>
    </rPh>
    <rPh sb="14" eb="16">
      <t>チョウセイ</t>
    </rPh>
    <rPh sb="16" eb="17">
      <t>ヒ</t>
    </rPh>
    <rPh sb="17" eb="18">
      <t>ヨウ</t>
    </rPh>
    <phoneticPr fontId="2"/>
  </si>
  <si>
    <t>梱包用残材処理</t>
    <rPh sb="0" eb="3">
      <t>コンポウヨウ</t>
    </rPh>
    <rPh sb="3" eb="4">
      <t>ザン</t>
    </rPh>
    <rPh sb="4" eb="5">
      <t>ザイ</t>
    </rPh>
    <rPh sb="5" eb="7">
      <t>ショリ</t>
    </rPh>
    <phoneticPr fontId="2"/>
  </si>
  <si>
    <t>廃棄物処理費用</t>
    <rPh sb="0" eb="3">
      <t>ハイキブツ</t>
    </rPh>
    <rPh sb="3" eb="5">
      <t>ショリ</t>
    </rPh>
    <rPh sb="5" eb="7">
      <t>ヒヨウ</t>
    </rPh>
    <phoneticPr fontId="2"/>
  </si>
  <si>
    <t>作業用電気使用料</t>
    <rPh sb="0" eb="3">
      <t>サギョウヨウ</t>
    </rPh>
    <rPh sb="3" eb="5">
      <t>デンキ</t>
    </rPh>
    <rPh sb="5" eb="8">
      <t>シヨウリョウ</t>
    </rPh>
    <phoneticPr fontId="2"/>
  </si>
  <si>
    <t>作業用仮設工事</t>
    <rPh sb="0" eb="2">
      <t>サギョウ</t>
    </rPh>
    <rPh sb="2" eb="3">
      <t>ヨウ</t>
    </rPh>
    <rPh sb="3" eb="4">
      <t>カリ</t>
    </rPh>
    <rPh sb="4" eb="7">
      <t>カセツコウジ</t>
    </rPh>
    <phoneticPr fontId="2"/>
  </si>
  <si>
    <t>躯体の孔明け補修工事</t>
    <rPh sb="0" eb="2">
      <t>クタイ</t>
    </rPh>
    <rPh sb="3" eb="5">
      <t>アナア</t>
    </rPh>
    <rPh sb="6" eb="10">
      <t>ホシュウコウジ</t>
    </rPh>
    <phoneticPr fontId="2"/>
  </si>
  <si>
    <t>暖房用熱源設備工事</t>
    <rPh sb="0" eb="3">
      <t>ダンボウヨウ</t>
    </rPh>
    <rPh sb="3" eb="5">
      <t>ネツゲン</t>
    </rPh>
    <rPh sb="5" eb="9">
      <t>セツビコウジ</t>
    </rPh>
    <phoneticPr fontId="2"/>
  </si>
  <si>
    <t>試運転用燃料･電気使用料</t>
    <rPh sb="0" eb="3">
      <t>シウンテン</t>
    </rPh>
    <rPh sb="3" eb="4">
      <t>ヨウ</t>
    </rPh>
    <rPh sb="4" eb="6">
      <t>ネンリョウ</t>
    </rPh>
    <rPh sb="7" eb="9">
      <t>デンキ</t>
    </rPh>
    <rPh sb="9" eb="12">
      <t>シヨウリョウ</t>
    </rPh>
    <phoneticPr fontId="2"/>
  </si>
  <si>
    <t>試運転用燃料･水･電気使用料</t>
    <rPh sb="0" eb="3">
      <t>シウンテン</t>
    </rPh>
    <rPh sb="3" eb="4">
      <t>ヨウ</t>
    </rPh>
    <rPh sb="4" eb="6">
      <t>ネンリョウ</t>
    </rPh>
    <rPh sb="7" eb="8">
      <t>ミズ</t>
    </rPh>
    <rPh sb="9" eb="11">
      <t>デンキ</t>
    </rPh>
    <rPh sb="11" eb="14">
      <t>シヨウリョウ</t>
    </rPh>
    <phoneticPr fontId="2"/>
  </si>
  <si>
    <t>図面作成に関わる一切</t>
    <rPh sb="0" eb="2">
      <t>ズメン</t>
    </rPh>
    <rPh sb="2" eb="4">
      <t>サクセイ</t>
    </rPh>
    <rPh sb="5" eb="6">
      <t>カカ</t>
    </rPh>
    <rPh sb="8" eb="10">
      <t>イッサイ</t>
    </rPh>
    <phoneticPr fontId="2"/>
  </si>
  <si>
    <t>消防申請関連の一切</t>
    <rPh sb="0" eb="2">
      <t>ショウボウ</t>
    </rPh>
    <rPh sb="2" eb="4">
      <t>シンセイ</t>
    </rPh>
    <rPh sb="4" eb="6">
      <t>カンレン</t>
    </rPh>
    <rPh sb="7" eb="9">
      <t>イッサイ</t>
    </rPh>
    <phoneticPr fontId="2"/>
  </si>
  <si>
    <t>見積記載以外の機器･設備工事</t>
    <rPh sb="0" eb="2">
      <t>ミツモリ</t>
    </rPh>
    <rPh sb="2" eb="4">
      <t>キサイ</t>
    </rPh>
    <rPh sb="4" eb="6">
      <t>イガイ</t>
    </rPh>
    <rPh sb="7" eb="9">
      <t>キキ</t>
    </rPh>
    <rPh sb="10" eb="14">
      <t>セツビコウジ</t>
    </rPh>
    <phoneticPr fontId="2"/>
  </si>
  <si>
    <t>消費税及び地方税</t>
    <rPh sb="0" eb="2">
      <t>ショウヒ</t>
    </rPh>
    <rPh sb="2" eb="3">
      <t>ゼイ</t>
    </rPh>
    <rPh sb="3" eb="4">
      <t>オヨ</t>
    </rPh>
    <rPh sb="5" eb="8">
      <t>チホウゼイ</t>
    </rPh>
    <phoneticPr fontId="2"/>
  </si>
  <si>
    <t>品番</t>
    <rPh sb="0" eb="2">
      <t>ヒンバン</t>
    </rPh>
    <phoneticPr fontId="2"/>
  </si>
  <si>
    <t>品名</t>
    <rPh sb="0" eb="2">
      <t>ヒンメイ</t>
    </rPh>
    <phoneticPr fontId="2"/>
  </si>
  <si>
    <t>型式</t>
    <rPh sb="0" eb="2">
      <t>カタシキ</t>
    </rPh>
    <phoneticPr fontId="2"/>
  </si>
  <si>
    <t>小売価格</t>
    <rPh sb="0" eb="2">
      <t>コウリ</t>
    </rPh>
    <rPh sb="2" eb="4">
      <t>カカク</t>
    </rPh>
    <phoneticPr fontId="2"/>
  </si>
  <si>
    <t>原価</t>
    <rPh sb="0" eb="2">
      <t>ゲンカ</t>
    </rPh>
    <phoneticPr fontId="2"/>
  </si>
  <si>
    <t>歩単</t>
    <rPh sb="0" eb="1">
      <t>ブ</t>
    </rPh>
    <rPh sb="1" eb="2">
      <t>タン</t>
    </rPh>
    <phoneticPr fontId="2"/>
  </si>
  <si>
    <t>STKｴﾛﾌｨﾝﾁｭｰﾌﾞ</t>
    <phoneticPr fontId="2"/>
  </si>
  <si>
    <t>ホーコス株式会社</t>
    <rPh sb="4" eb="8">
      <t>カブシキガイシャ</t>
    </rPh>
    <phoneticPr fontId="2"/>
  </si>
  <si>
    <t>ｵｲﾙﾀﾝｸ・消防関連</t>
    <phoneticPr fontId="2"/>
  </si>
  <si>
    <t>煙道・煙突関連部材</t>
    <phoneticPr fontId="2"/>
  </si>
  <si>
    <t>ﾎﾟﾘﾀﾞｸﾄ・ｸﾛｽﾗﾑﾀﾞｸﾄ</t>
    <phoneticPr fontId="2"/>
  </si>
  <si>
    <t>ｽﾊﾟｲﾗﾙﾀﾞｸﾄ</t>
    <phoneticPr fontId="2"/>
  </si>
  <si>
    <t>ｱﾙﾐﾌﾚｷﾀﾞｸﾄ</t>
  </si>
  <si>
    <t>ﾊｳｽｶｵﾝｷ(静音型)</t>
    <rPh sb="8" eb="9">
      <t>セイ</t>
    </rPh>
    <rPh sb="9" eb="10">
      <t>オン</t>
    </rPh>
    <rPh sb="10" eb="11">
      <t>カタ</t>
    </rPh>
    <phoneticPr fontId="2"/>
  </si>
  <si>
    <t>ﾊｳｽｶｵﾝｷ(ｶﾞｽ焚き)</t>
    <rPh sb="10" eb="12">
      <t>タキ</t>
    </rPh>
    <phoneticPr fontId="2"/>
  </si>
  <si>
    <t>ﾋｰﾄｯﾌﾟ・ｶﾜｲﾀｰ</t>
    <phoneticPr fontId="2"/>
  </si>
  <si>
    <t>SGPｴﾛﾌｨﾝﾁｭｰﾌﾞ</t>
    <phoneticPr fontId="2"/>
  </si>
  <si>
    <t>ﾊｳｽｶｵﾝｷ　30型・29型</t>
  </si>
  <si>
    <t>l3</t>
    <phoneticPr fontId="2"/>
  </si>
  <si>
    <t>同上搬入据付工事</t>
    <rPh sb="0" eb="2">
      <t>ドウジョウ</t>
    </rPh>
    <rPh sb="2" eb="4">
      <t>ハンニュウ</t>
    </rPh>
    <rPh sb="4" eb="6">
      <t>スエツケ</t>
    </rPh>
    <rPh sb="6" eb="8">
      <t>コウジ</t>
    </rPh>
    <phoneticPr fontId="2"/>
  </si>
  <si>
    <t>機器減衰率係数</t>
    <rPh sb="0" eb="2">
      <t>キキ</t>
    </rPh>
    <rPh sb="2" eb="4">
      <t>ゲンスイ</t>
    </rPh>
    <rPh sb="4" eb="5">
      <t>リツ</t>
    </rPh>
    <rPh sb="5" eb="7">
      <t>ケイスウ</t>
    </rPh>
    <phoneticPr fontId="2"/>
  </si>
  <si>
    <t>049825000</t>
    <phoneticPr fontId="2"/>
  </si>
  <si>
    <t>ﾊｳｽｶｵﾝｷ</t>
    <phoneticPr fontId="2"/>
  </si>
  <si>
    <t>HK2030TCV</t>
  </si>
  <si>
    <t>051111000</t>
  </si>
  <si>
    <t>小型温風機</t>
    <rPh sb="0" eb="2">
      <t>コガタ</t>
    </rPh>
    <rPh sb="2" eb="4">
      <t>オンプウ</t>
    </rPh>
    <rPh sb="4" eb="5">
      <t>キ</t>
    </rPh>
    <phoneticPr fontId="2"/>
  </si>
  <si>
    <t>KA-125</t>
    <phoneticPr fontId="2"/>
  </si>
  <si>
    <t>038886000</t>
    <phoneticPr fontId="2"/>
  </si>
  <si>
    <t>ｼｮｳｵﾝﾎﾞｲﾗ</t>
    <phoneticPr fontId="2"/>
  </si>
  <si>
    <t>SHB-310S1K</t>
    <phoneticPr fontId="2"/>
  </si>
  <si>
    <t>052478000</t>
  </si>
  <si>
    <t>ｼﾝｸﾛﾋｰﾀ</t>
  </si>
  <si>
    <t>SBM100WNU_10</t>
  </si>
  <si>
    <t>041992000</t>
    <phoneticPr fontId="2"/>
  </si>
  <si>
    <t>ｵｰﾄｶﾝ</t>
    <phoneticPr fontId="2"/>
  </si>
  <si>
    <t>AWH-501A</t>
    <phoneticPr fontId="2"/>
  </si>
  <si>
    <t>026087000</t>
    <phoneticPr fontId="2"/>
  </si>
  <si>
    <t>ｸﾞﾘｰﾝｿｰﾗ</t>
    <phoneticPr fontId="2"/>
  </si>
  <si>
    <t>RHE-134E</t>
    <phoneticPr fontId="2"/>
  </si>
  <si>
    <t>RB0000304</t>
    <phoneticPr fontId="2"/>
  </si>
  <si>
    <t>熱交換器</t>
    <rPh sb="0" eb="4">
      <t>ネツコウカンキ</t>
    </rPh>
    <phoneticPr fontId="2"/>
  </si>
  <si>
    <t>ST-3(1m)</t>
    <phoneticPr fontId="2"/>
  </si>
  <si>
    <t>ｴﾛﾌｨﾝﾁｭｰﾌﾞ（STK 5KF）</t>
  </si>
  <si>
    <t>32A 25F  5500L</t>
    <phoneticPr fontId="2"/>
  </si>
  <si>
    <t>ﾌｧﾝｺｲﾙﾕﾆｯﾄ</t>
    <phoneticPr fontId="2"/>
  </si>
  <si>
    <t>RF-20F</t>
    <phoneticPr fontId="2"/>
  </si>
  <si>
    <t>ｸｰﾘﾝｸﾞﾀﾜｰ</t>
    <phoneticPr fontId="2"/>
  </si>
  <si>
    <t>MT-514</t>
    <phoneticPr fontId="2"/>
  </si>
  <si>
    <t>蓄熱ﾀﾝｸ</t>
    <rPh sb="0" eb="2">
      <t>チクネツ</t>
    </rPh>
    <phoneticPr fontId="2"/>
  </si>
  <si>
    <t>100ﾘｯﾄﾙ</t>
    <phoneticPr fontId="2"/>
  </si>
  <si>
    <t>ﾗｲﾝﾎﾟﾝﾌﾟ</t>
    <phoneticPr fontId="21"/>
  </si>
  <si>
    <t>50Hz φ25 0.15kW</t>
    <phoneticPr fontId="2"/>
  </si>
  <si>
    <t>台</t>
    <rPh sb="0" eb="1">
      <t>ダイ</t>
    </rPh>
    <phoneticPr fontId="21"/>
  </si>
  <si>
    <t>052396000</t>
  </si>
  <si>
    <t>ｸﾞﾘｰﾝﾊﾟｯｹｰｼﾞ</t>
    <phoneticPr fontId="2"/>
  </si>
  <si>
    <t>NGP109TQX-J_4(親機)</t>
    <phoneticPr fontId="2"/>
  </si>
  <si>
    <t>空冷ﾁﾗｰﾕﾆｯﾄ</t>
  </si>
  <si>
    <t>UWAP75A(3HP)</t>
    <phoneticPr fontId="2"/>
  </si>
  <si>
    <t xml:space="preserve">膨張ﾀﾝｸ    </t>
    <phoneticPr fontId="2"/>
  </si>
  <si>
    <t>ETU-100 ボールタップ一般型</t>
    <rPh sb="14" eb="17">
      <t>イッパンガタ</t>
    </rPh>
    <phoneticPr fontId="2"/>
  </si>
  <si>
    <t>台</t>
  </si>
  <si>
    <t>047056000</t>
    <phoneticPr fontId="2"/>
  </si>
  <si>
    <t xml:space="preserve">ｵｲﾙﾀﾝｸ   </t>
  </si>
  <si>
    <t>BOT-99</t>
    <phoneticPr fontId="2"/>
  </si>
  <si>
    <t>基</t>
    <phoneticPr fontId="2"/>
  </si>
  <si>
    <t>103230000</t>
    <phoneticPr fontId="2"/>
  </si>
  <si>
    <t>煙突ｾｯﾄ</t>
  </si>
  <si>
    <t xml:space="preserve">BEP-3P120A網付 </t>
    <phoneticPr fontId="2"/>
  </si>
  <si>
    <t>2500000022</t>
    <phoneticPr fontId="2"/>
  </si>
  <si>
    <t xml:space="preserve">ﾎﾟﾘﾀﾞｸﾄ   </t>
    <phoneticPr fontId="2"/>
  </si>
  <si>
    <t>折幅400×200m(0.07)</t>
    <phoneticPr fontId="2"/>
  </si>
  <si>
    <t>ｽﾊﾟｲﾗﾙﾀﾞｸﾄ(亜鉛)</t>
    <phoneticPr fontId="2"/>
  </si>
  <si>
    <t>φ200</t>
    <phoneticPr fontId="2"/>
  </si>
  <si>
    <t>ｍ</t>
    <phoneticPr fontId="2"/>
  </si>
  <si>
    <t>186981000</t>
  </si>
  <si>
    <t>φ225×4000L</t>
  </si>
  <si>
    <t>051234000</t>
  </si>
  <si>
    <t>HK2030GCSV</t>
    <phoneticPr fontId="2"/>
  </si>
  <si>
    <t>ｴﾛﾌｨﾝ支持金具</t>
    <rPh sb="5" eb="7">
      <t>シジ</t>
    </rPh>
    <rPh sb="7" eb="9">
      <t>カナグ</t>
    </rPh>
    <phoneticPr fontId="2"/>
  </si>
  <si>
    <t>1段1列</t>
    <rPh sb="1" eb="2">
      <t>ダン</t>
    </rPh>
    <rPh sb="3" eb="4">
      <t>レツ</t>
    </rPh>
    <phoneticPr fontId="2"/>
  </si>
  <si>
    <t>051051000</t>
  </si>
  <si>
    <t>ﾊｳｽｶｵﾝｷ（LPｶﾞｽ焚き）</t>
  </si>
  <si>
    <t>HK2030TCL</t>
  </si>
  <si>
    <t>043222000</t>
    <phoneticPr fontId="2"/>
  </si>
  <si>
    <t>ﾋｰﾄｯﾌﾟ</t>
    <phoneticPr fontId="2"/>
  </si>
  <si>
    <t>HT-201E</t>
    <phoneticPr fontId="2"/>
  </si>
  <si>
    <t>SGPｴﾛﾌｨﾝﾁｭｰﾌﾞ</t>
  </si>
  <si>
    <t>ﾊｳｽｶｵﾝｷ　静音型</t>
    <phoneticPr fontId="2"/>
  </si>
  <si>
    <t>fp3</t>
    <phoneticPr fontId="2"/>
  </si>
  <si>
    <t>同上架台工事</t>
    <rPh sb="0" eb="2">
      <t>ドウジョウ</t>
    </rPh>
    <rPh sb="2" eb="4">
      <t>カダイ</t>
    </rPh>
    <phoneticPr fontId="2"/>
  </si>
  <si>
    <t>049826000</t>
    <phoneticPr fontId="2"/>
  </si>
  <si>
    <t>HK2030TEV</t>
  </si>
  <si>
    <t>051113000</t>
  </si>
  <si>
    <t>KA-205</t>
    <phoneticPr fontId="2"/>
  </si>
  <si>
    <t>038884000</t>
    <phoneticPr fontId="2"/>
  </si>
  <si>
    <t>SHB-310TK</t>
    <phoneticPr fontId="2"/>
  </si>
  <si>
    <t>052479000</t>
  </si>
  <si>
    <t>SBM100WMU_10</t>
  </si>
  <si>
    <t>041993000</t>
    <phoneticPr fontId="2"/>
  </si>
  <si>
    <t>AWH-601A</t>
    <phoneticPr fontId="2"/>
  </si>
  <si>
    <t>026090000</t>
    <phoneticPr fontId="2"/>
  </si>
  <si>
    <t>RHE-154C</t>
    <phoneticPr fontId="2"/>
  </si>
  <si>
    <t>RB0000305</t>
  </si>
  <si>
    <t>ST-5(1m)</t>
    <phoneticPr fontId="2"/>
  </si>
  <si>
    <t>32A 25F  4000L</t>
    <phoneticPr fontId="2"/>
  </si>
  <si>
    <t>RF-30F</t>
    <phoneticPr fontId="2"/>
  </si>
  <si>
    <t>MT-814</t>
    <phoneticPr fontId="2"/>
  </si>
  <si>
    <t>200ﾘｯﾄﾙ</t>
    <phoneticPr fontId="2"/>
  </si>
  <si>
    <t>----------</t>
  </si>
  <si>
    <t>052395000</t>
  </si>
  <si>
    <t>NGP109TQ-J_4(子機)</t>
    <rPh sb="13" eb="15">
      <t>コキ</t>
    </rPh>
    <phoneticPr fontId="2"/>
  </si>
  <si>
    <t>UWAA125A(5HP)</t>
    <phoneticPr fontId="2"/>
  </si>
  <si>
    <t>ETU-200 ボールタップ一般型</t>
  </si>
  <si>
    <t>047057000</t>
    <phoneticPr fontId="2"/>
  </si>
  <si>
    <t>BOT-200</t>
    <phoneticPr fontId="2"/>
  </si>
  <si>
    <t>104720000</t>
    <phoneticPr fontId="2"/>
  </si>
  <si>
    <t xml:space="preserve">BEP-3P1504網付 </t>
    <phoneticPr fontId="2"/>
  </si>
  <si>
    <t>2500000101</t>
    <phoneticPr fontId="2"/>
  </si>
  <si>
    <t xml:space="preserve">ﾎﾟﾘﾀﾞｸﾄ   </t>
  </si>
  <si>
    <t>折幅475×100m</t>
    <phoneticPr fontId="2"/>
  </si>
  <si>
    <t>ｽﾊﾟｲﾗﾙﾀﾞｸﾄ(亜鉛)</t>
  </si>
  <si>
    <t>φ225</t>
    <phoneticPr fontId="2"/>
  </si>
  <si>
    <t>---------------</t>
  </si>
  <si>
    <t>051235000</t>
  </si>
  <si>
    <t>HK2030GESV</t>
    <phoneticPr fontId="2"/>
  </si>
  <si>
    <t>2段1列</t>
    <rPh sb="1" eb="2">
      <t>ダン</t>
    </rPh>
    <rPh sb="3" eb="4">
      <t>レツ</t>
    </rPh>
    <phoneticPr fontId="2"/>
  </si>
  <si>
    <t>051061000</t>
  </si>
  <si>
    <t>HK2030TEL</t>
  </si>
  <si>
    <t>043223000</t>
    <phoneticPr fontId="2"/>
  </si>
  <si>
    <t>HT-321F</t>
    <phoneticPr fontId="2"/>
  </si>
  <si>
    <t>ﾊｳｽｶｵﾝｷ　ｶﾞｽ焚き</t>
    <rPh sb="11" eb="12">
      <t>タ</t>
    </rPh>
    <phoneticPr fontId="2"/>
  </si>
  <si>
    <t>gf3</t>
    <phoneticPr fontId="2"/>
  </si>
  <si>
    <t>同上架台及び機器据付工事</t>
    <rPh sb="0" eb="2">
      <t>ドウジョウ</t>
    </rPh>
    <rPh sb="2" eb="4">
      <t>カダイ</t>
    </rPh>
    <rPh sb="4" eb="5">
      <t>オヨ</t>
    </rPh>
    <rPh sb="6" eb="8">
      <t>キキ</t>
    </rPh>
    <rPh sb="8" eb="10">
      <t>スエツケ</t>
    </rPh>
    <rPh sb="10" eb="12">
      <t>スエツケコウジ</t>
    </rPh>
    <phoneticPr fontId="2"/>
  </si>
  <si>
    <t>051779000</t>
  </si>
  <si>
    <t>HK2030TRV</t>
  </si>
  <si>
    <t>051115000</t>
  </si>
  <si>
    <t>KA-325</t>
    <phoneticPr fontId="2"/>
  </si>
  <si>
    <t>038885000</t>
    <phoneticPr fontId="2"/>
  </si>
  <si>
    <t>SHB-310TK4</t>
    <phoneticPr fontId="2"/>
  </si>
  <si>
    <t>052480000</t>
  </si>
  <si>
    <t>SBM100WLU_10</t>
  </si>
  <si>
    <t>041994000</t>
    <phoneticPr fontId="2"/>
  </si>
  <si>
    <t>AWH-701A</t>
    <phoneticPr fontId="2"/>
  </si>
  <si>
    <t>----------</t>
    <phoneticPr fontId="2"/>
  </si>
  <si>
    <t>RB0000306</t>
  </si>
  <si>
    <t>ST-8(1m)</t>
    <phoneticPr fontId="2"/>
  </si>
  <si>
    <t>32A 25F  3500L</t>
    <phoneticPr fontId="2"/>
  </si>
  <si>
    <t>RF-40F</t>
    <phoneticPr fontId="2"/>
  </si>
  <si>
    <t>MT-1014</t>
    <phoneticPr fontId="2"/>
  </si>
  <si>
    <t>500ﾘｯﾄﾙ</t>
    <phoneticPr fontId="2"/>
  </si>
  <si>
    <t>50Hz φ32 0.25kW</t>
    <phoneticPr fontId="2"/>
  </si>
  <si>
    <t>室外機平置台(H500)</t>
    <rPh sb="0" eb="3">
      <t>シツガイキ</t>
    </rPh>
    <rPh sb="3" eb="5">
      <t>ヒラオ</t>
    </rPh>
    <rPh sb="5" eb="6">
      <t>ダイ</t>
    </rPh>
    <phoneticPr fontId="2"/>
  </si>
  <si>
    <t>UWAA190A(8HP)</t>
    <phoneticPr fontId="2"/>
  </si>
  <si>
    <t xml:space="preserve">膨張ﾀﾝｸ    </t>
  </si>
  <si>
    <t>ETU-300 ボールタップ一般型</t>
  </si>
  <si>
    <t>150729000</t>
    <phoneticPr fontId="2"/>
  </si>
  <si>
    <t>BOT-490</t>
    <phoneticPr fontId="2"/>
  </si>
  <si>
    <t>102387000</t>
    <phoneticPr fontId="2"/>
  </si>
  <si>
    <t xml:space="preserve">BEP-3P2252網付 </t>
    <phoneticPr fontId="2"/>
  </si>
  <si>
    <t>2500000025</t>
    <phoneticPr fontId="2"/>
  </si>
  <si>
    <t>折幅475×200m(0.07)</t>
    <phoneticPr fontId="2"/>
  </si>
  <si>
    <t>φ250</t>
    <phoneticPr fontId="2"/>
  </si>
  <si>
    <t>亜鉛鋼板ﾆｯﾌﾟﾙ</t>
    <rPh sb="0" eb="2">
      <t>アエン</t>
    </rPh>
    <rPh sb="2" eb="4">
      <t>コウハン</t>
    </rPh>
    <phoneticPr fontId="2"/>
  </si>
  <si>
    <t>φ225</t>
  </si>
  <si>
    <t>1段2列</t>
    <rPh sb="1" eb="2">
      <t>ダン</t>
    </rPh>
    <rPh sb="3" eb="4">
      <t>レツ</t>
    </rPh>
    <phoneticPr fontId="2"/>
  </si>
  <si>
    <t>051053000</t>
  </si>
  <si>
    <t>HK3030TCL</t>
  </si>
  <si>
    <t>043224000</t>
    <phoneticPr fontId="2"/>
  </si>
  <si>
    <t>HT-322E</t>
    <phoneticPr fontId="2"/>
  </si>
  <si>
    <t>小型温風機・ｸﾞﾛｳｴｱ</t>
    <rPh sb="0" eb="2">
      <t>コガタ</t>
    </rPh>
    <rPh sb="2" eb="4">
      <t>オンプウ</t>
    </rPh>
    <rPh sb="4" eb="5">
      <t>キ</t>
    </rPh>
    <phoneticPr fontId="2"/>
  </si>
  <si>
    <t>t3</t>
    <phoneticPr fontId="2"/>
  </si>
  <si>
    <t>同上架台及び据付工事</t>
    <rPh sb="0" eb="2">
      <t>ドウジョウ</t>
    </rPh>
    <rPh sb="2" eb="4">
      <t>カダイ</t>
    </rPh>
    <rPh sb="4" eb="5">
      <t>オヨ</t>
    </rPh>
    <phoneticPr fontId="2"/>
  </si>
  <si>
    <t>049827000</t>
    <phoneticPr fontId="2"/>
  </si>
  <si>
    <t>HK3030TCV</t>
  </si>
  <si>
    <t>051117000</t>
  </si>
  <si>
    <t>KA-325T</t>
    <phoneticPr fontId="2"/>
  </si>
  <si>
    <t>-----------</t>
    <phoneticPr fontId="2"/>
  </si>
  <si>
    <t>052481000</t>
  </si>
  <si>
    <t>ｼﾝｸﾛﾋｰﾀ</t>
    <phoneticPr fontId="2"/>
  </si>
  <si>
    <t>SBM100WNUJ_2（水道直結仕様）</t>
    <phoneticPr fontId="2"/>
  </si>
  <si>
    <t>041995000</t>
    <phoneticPr fontId="2"/>
  </si>
  <si>
    <t>AWH-801A</t>
    <phoneticPr fontId="2"/>
  </si>
  <si>
    <t>105332000</t>
  </si>
  <si>
    <t>ﾀﾞｲﾚｸﾄﾌｧﾝ</t>
    <phoneticPr fontId="2"/>
  </si>
  <si>
    <t>DFN-102TE</t>
    <phoneticPr fontId="2"/>
  </si>
  <si>
    <t>RB0000307</t>
  </si>
  <si>
    <t>ST-10(1m)</t>
    <phoneticPr fontId="2"/>
  </si>
  <si>
    <t>32A 25F  3000L</t>
    <phoneticPr fontId="2"/>
  </si>
  <si>
    <t>RF-60F</t>
    <phoneticPr fontId="2"/>
  </si>
  <si>
    <t>MT-1514</t>
    <phoneticPr fontId="2"/>
  </si>
  <si>
    <t xml:space="preserve">750ﾘｯﾄﾙ  </t>
    <phoneticPr fontId="2"/>
  </si>
  <si>
    <t>50Hz φ32 0.4kW</t>
    <phoneticPr fontId="2"/>
  </si>
  <si>
    <t>044798000</t>
    <phoneticPr fontId="2"/>
  </si>
  <si>
    <t>ﾌﾚｯｸｽﾌﾛｰｱﾀﾞﾌﾟﾀｰｾｯﾄ</t>
    <phoneticPr fontId="2"/>
  </si>
  <si>
    <t>UWAA250A(10HP)</t>
    <phoneticPr fontId="2"/>
  </si>
  <si>
    <t>ETU-500 ボールタップ一般型</t>
  </si>
  <si>
    <t>BOT-900</t>
    <phoneticPr fontId="2"/>
  </si>
  <si>
    <t>002290000</t>
    <phoneticPr fontId="2"/>
  </si>
  <si>
    <t xml:space="preserve">BEP-HB1201     </t>
    <phoneticPr fontId="2"/>
  </si>
  <si>
    <t>2500000102</t>
    <phoneticPr fontId="2"/>
  </si>
  <si>
    <t>折幅630×50m</t>
    <phoneticPr fontId="2"/>
  </si>
  <si>
    <t>φ300</t>
    <phoneticPr fontId="2"/>
  </si>
  <si>
    <t>亜鉛鋼板T管</t>
    <rPh sb="0" eb="2">
      <t>アエン</t>
    </rPh>
    <rPh sb="2" eb="4">
      <t>コウハン</t>
    </rPh>
    <rPh sb="5" eb="6">
      <t>カン</t>
    </rPh>
    <phoneticPr fontId="2"/>
  </si>
  <si>
    <t>051236000</t>
  </si>
  <si>
    <t>HK3030GCSV</t>
    <phoneticPr fontId="2"/>
  </si>
  <si>
    <t>2段2列</t>
    <rPh sb="1" eb="2">
      <t>ダン</t>
    </rPh>
    <rPh sb="3" eb="4">
      <t>レツ</t>
    </rPh>
    <phoneticPr fontId="2"/>
  </si>
  <si>
    <t>051063000</t>
  </si>
  <si>
    <t>HK3030TEL</t>
  </si>
  <si>
    <t>043225000</t>
    <phoneticPr fontId="2"/>
  </si>
  <si>
    <t>HT-322F</t>
    <phoneticPr fontId="2"/>
  </si>
  <si>
    <t>ﾊｳｽﾎﾞｲﾗ</t>
    <phoneticPr fontId="2"/>
  </si>
  <si>
    <t>ab3</t>
    <phoneticPr fontId="2"/>
  </si>
  <si>
    <t>同上取付工事</t>
    <rPh sb="0" eb="2">
      <t>ドウジョウ</t>
    </rPh>
    <rPh sb="2" eb="4">
      <t>トリツケ</t>
    </rPh>
    <rPh sb="4" eb="6">
      <t>コウジ</t>
    </rPh>
    <phoneticPr fontId="2"/>
  </si>
  <si>
    <t>ｴﾛﾌｨﾝ減衰率係数</t>
    <phoneticPr fontId="2"/>
  </si>
  <si>
    <t>049828000</t>
    <phoneticPr fontId="2"/>
  </si>
  <si>
    <t>HK3030TEV</t>
  </si>
  <si>
    <t>051119000</t>
  </si>
  <si>
    <t>KA-405T</t>
    <phoneticPr fontId="2"/>
  </si>
  <si>
    <t>025357000</t>
  </si>
  <si>
    <t>HB-407TGA</t>
    <phoneticPr fontId="2"/>
  </si>
  <si>
    <t>052482000</t>
  </si>
  <si>
    <t>SBM100WMUJ_2（水道直結仕様）</t>
    <phoneticPr fontId="2"/>
  </si>
  <si>
    <t>041996000</t>
    <phoneticPr fontId="2"/>
  </si>
  <si>
    <t>AWH-901A</t>
    <phoneticPr fontId="2"/>
  </si>
  <si>
    <t>RB0000308</t>
    <phoneticPr fontId="2"/>
  </si>
  <si>
    <t>ST-20(1m)</t>
    <phoneticPr fontId="2"/>
  </si>
  <si>
    <t>32A 25F  2750L</t>
  </si>
  <si>
    <t>RF-80F</t>
    <phoneticPr fontId="2"/>
  </si>
  <si>
    <t>MT-2014</t>
    <phoneticPr fontId="2"/>
  </si>
  <si>
    <t xml:space="preserve">1,000ﾘｯﾄﾙ </t>
    <phoneticPr fontId="2"/>
  </si>
  <si>
    <t>50Hz φ32 0.75kW</t>
    <phoneticPr fontId="2"/>
  </si>
  <si>
    <t>028066000</t>
    <phoneticPr fontId="2"/>
  </si>
  <si>
    <t>省ｴﾈﾊｲﾌﾞﾘｯﾄﾞ制御盤</t>
    <phoneticPr fontId="2"/>
  </si>
  <si>
    <t>NT-602</t>
    <phoneticPr fontId="2"/>
  </si>
  <si>
    <t>面</t>
  </si>
  <si>
    <t>UWAA375A(15HP)</t>
    <phoneticPr fontId="2"/>
  </si>
  <si>
    <t>ETU-750 ボールタップ一般型</t>
  </si>
  <si>
    <t>BOT-1900</t>
    <phoneticPr fontId="2"/>
  </si>
  <si>
    <t>103811000</t>
    <phoneticPr fontId="2"/>
  </si>
  <si>
    <t xml:space="preserve">BEP-KA1203     </t>
    <phoneticPr fontId="2"/>
  </si>
  <si>
    <t>2500000103</t>
    <phoneticPr fontId="2"/>
  </si>
  <si>
    <t>折幅900×50m</t>
    <phoneticPr fontId="2"/>
  </si>
  <si>
    <t>φ350</t>
    <phoneticPr fontId="2"/>
  </si>
  <si>
    <t>051237000</t>
  </si>
  <si>
    <t>HK3030GESV</t>
    <phoneticPr fontId="2"/>
  </si>
  <si>
    <t>3段1列</t>
    <rPh sb="1" eb="2">
      <t>ダン</t>
    </rPh>
    <rPh sb="3" eb="4">
      <t>レツ</t>
    </rPh>
    <phoneticPr fontId="2"/>
  </si>
  <si>
    <t>051071000</t>
  </si>
  <si>
    <t>HK3030TFL</t>
  </si>
  <si>
    <t>32A 25F  2750L</t>
    <phoneticPr fontId="2"/>
  </si>
  <si>
    <t>aj3</t>
    <phoneticPr fontId="2"/>
  </si>
  <si>
    <t>同上塗装補修工事</t>
    <rPh sb="0" eb="2">
      <t>ドウジョウ</t>
    </rPh>
    <rPh sb="2" eb="4">
      <t>トソウ</t>
    </rPh>
    <rPh sb="4" eb="8">
      <t>ホシュウコウジ</t>
    </rPh>
    <phoneticPr fontId="2"/>
  </si>
  <si>
    <t>049829000</t>
    <phoneticPr fontId="2"/>
  </si>
  <si>
    <t>HK3030TFV</t>
  </si>
  <si>
    <t>025124000</t>
  </si>
  <si>
    <t>HB-807TGA5</t>
    <phoneticPr fontId="2"/>
  </si>
  <si>
    <t>052483000</t>
  </si>
  <si>
    <t>SBM100WLUJ_2（水道直結仕様）</t>
    <phoneticPr fontId="2"/>
  </si>
  <si>
    <t>041997000</t>
    <phoneticPr fontId="2"/>
  </si>
  <si>
    <t>AWH-1001A</t>
    <phoneticPr fontId="2"/>
  </si>
  <si>
    <t>026708000</t>
    <phoneticPr fontId="2"/>
  </si>
  <si>
    <t>ﾈﾎﾟﾝﾌｧﾝ</t>
    <phoneticPr fontId="2"/>
  </si>
  <si>
    <t>FAN-302S1</t>
    <phoneticPr fontId="2"/>
  </si>
  <si>
    <t>RB0000310</t>
  </si>
  <si>
    <t>ST-40(1m)</t>
    <phoneticPr fontId="2"/>
  </si>
  <si>
    <t>32A 25F  2000L</t>
  </si>
  <si>
    <t>RF-120F</t>
    <phoneticPr fontId="2"/>
  </si>
  <si>
    <t>MT-3014</t>
    <phoneticPr fontId="2"/>
  </si>
  <si>
    <t xml:space="preserve">1,500ﾘｯﾄﾙ  </t>
    <phoneticPr fontId="2"/>
  </si>
  <si>
    <t>103305000</t>
    <phoneticPr fontId="2"/>
  </si>
  <si>
    <t>湿度ｾﾝｻ</t>
    <rPh sb="0" eb="2">
      <t>シツド</t>
    </rPh>
    <phoneticPr fontId="2"/>
  </si>
  <si>
    <t>HUS-12</t>
    <phoneticPr fontId="2"/>
  </si>
  <si>
    <t>UWAA500A(20HP)</t>
    <phoneticPr fontId="2"/>
  </si>
  <si>
    <t>ETU-1000 ボールタップ一般型</t>
  </si>
  <si>
    <t>BOT- 5000</t>
    <phoneticPr fontId="2"/>
  </si>
  <si>
    <t>104598000</t>
    <phoneticPr fontId="2"/>
  </si>
  <si>
    <t>BEP-KA120F</t>
    <phoneticPr fontId="2"/>
  </si>
  <si>
    <t>2500000104</t>
    <phoneticPr fontId="2"/>
  </si>
  <si>
    <t>折幅1100×50m</t>
    <phoneticPr fontId="2"/>
  </si>
  <si>
    <t>φ400</t>
    <phoneticPr fontId="2"/>
  </si>
  <si>
    <t>051238000</t>
  </si>
  <si>
    <t>HK3030GFSV</t>
    <phoneticPr fontId="2"/>
  </si>
  <si>
    <t>3段2列</t>
    <rPh sb="1" eb="2">
      <t>ダン</t>
    </rPh>
    <rPh sb="3" eb="4">
      <t>レツ</t>
    </rPh>
    <phoneticPr fontId="2"/>
  </si>
  <si>
    <t>051055000</t>
  </si>
  <si>
    <t>HK4030TCL</t>
  </si>
  <si>
    <t>038107000</t>
    <phoneticPr fontId="2"/>
  </si>
  <si>
    <t>HT-802TE</t>
    <phoneticPr fontId="2"/>
  </si>
  <si>
    <t>32A 25F  2000L</t>
    <phoneticPr fontId="2"/>
  </si>
  <si>
    <t>ar3</t>
    <phoneticPr fontId="2"/>
  </si>
  <si>
    <t>同上基礎工事</t>
    <rPh sb="0" eb="6">
      <t>ドウジョウキソコウジ</t>
    </rPh>
    <phoneticPr fontId="2"/>
  </si>
  <si>
    <t>051780000</t>
  </si>
  <si>
    <t>HK3030TRV</t>
  </si>
  <si>
    <t>051112000</t>
  </si>
  <si>
    <t>KA-125E</t>
    <phoneticPr fontId="2"/>
  </si>
  <si>
    <t>025125000</t>
  </si>
  <si>
    <t>HB-807TGA6</t>
    <phoneticPr fontId="2"/>
  </si>
  <si>
    <t>041998000</t>
    <phoneticPr fontId="2"/>
  </si>
  <si>
    <t>AWH-1201A</t>
    <phoneticPr fontId="2"/>
  </si>
  <si>
    <t>049377000</t>
  </si>
  <si>
    <t>FAN-303T</t>
    <phoneticPr fontId="2"/>
  </si>
  <si>
    <t>RB0000311</t>
    <phoneticPr fontId="2"/>
  </si>
  <si>
    <t>ST-50(1m)</t>
    <phoneticPr fontId="2"/>
  </si>
  <si>
    <t>32A 25F  1500L</t>
  </si>
  <si>
    <t>RF-3P</t>
    <phoneticPr fontId="2"/>
  </si>
  <si>
    <t>MT-4014</t>
    <phoneticPr fontId="2"/>
  </si>
  <si>
    <t xml:space="preserve">2,000ﾘｯﾄﾙ  </t>
    <phoneticPr fontId="2"/>
  </si>
  <si>
    <t>50Hz φ40 0.25kW</t>
    <phoneticPr fontId="2"/>
  </si>
  <si>
    <t>044702000</t>
  </si>
  <si>
    <t>接続用ｹｰﾌﾞﾙｾｯﾄNGP109TX</t>
    <phoneticPr fontId="2"/>
  </si>
  <si>
    <t>UWAA630A(25HP)</t>
    <phoneticPr fontId="2"/>
  </si>
  <si>
    <t>同上架台</t>
    <rPh sb="0" eb="2">
      <t>ドウジョウ</t>
    </rPh>
    <rPh sb="2" eb="4">
      <t>カダイ</t>
    </rPh>
    <phoneticPr fontId="2"/>
  </si>
  <si>
    <t>溶融亜鉛メッキ（SS400) 500H 100用</t>
    <rPh sb="0" eb="2">
      <t>ヨウユウ</t>
    </rPh>
    <rPh sb="2" eb="4">
      <t>アエン</t>
    </rPh>
    <rPh sb="23" eb="24">
      <t>ヨウ</t>
    </rPh>
    <phoneticPr fontId="2"/>
  </si>
  <si>
    <t>組</t>
    <rPh sb="0" eb="1">
      <t>クミ</t>
    </rPh>
    <phoneticPr fontId="2"/>
  </si>
  <si>
    <t>BOT-10000</t>
    <phoneticPr fontId="2"/>
  </si>
  <si>
    <t>104719000</t>
    <phoneticPr fontId="2"/>
  </si>
  <si>
    <t xml:space="preserve">BEP-20T1504   </t>
    <phoneticPr fontId="2"/>
  </si>
  <si>
    <t>RE0000378</t>
    <phoneticPr fontId="2"/>
  </si>
  <si>
    <t>ﾎﾟﾘﾀﾞｸﾄ（局所施用）</t>
    <rPh sb="8" eb="10">
      <t>キョクショ</t>
    </rPh>
    <rPh sb="10" eb="11">
      <t>）</t>
    </rPh>
    <phoneticPr fontId="2"/>
  </si>
  <si>
    <t>折幅160×200m</t>
    <phoneticPr fontId="2"/>
  </si>
  <si>
    <t>φ500</t>
    <phoneticPr fontId="2"/>
  </si>
  <si>
    <t>051065000</t>
  </si>
  <si>
    <t>HK4030TEL</t>
  </si>
  <si>
    <t>038108000</t>
    <phoneticPr fontId="2"/>
  </si>
  <si>
    <t>HT-802TF</t>
    <phoneticPr fontId="2"/>
  </si>
  <si>
    <t>32A 25F  1500L</t>
    <phoneticPr fontId="2"/>
  </si>
  <si>
    <t>gn3</t>
    <phoneticPr fontId="2"/>
  </si>
  <si>
    <t>同上組立取付工事</t>
    <rPh sb="0" eb="2">
      <t>ドウジョウ</t>
    </rPh>
    <rPh sb="2" eb="4">
      <t>クミタテ</t>
    </rPh>
    <rPh sb="4" eb="6">
      <t>トリツケ</t>
    </rPh>
    <rPh sb="6" eb="8">
      <t>コウジ</t>
    </rPh>
    <phoneticPr fontId="2"/>
  </si>
  <si>
    <t>049830000</t>
    <phoneticPr fontId="2"/>
  </si>
  <si>
    <t>HK4030TCV</t>
  </si>
  <si>
    <t>051114000</t>
  </si>
  <si>
    <t>KA-205E</t>
    <phoneticPr fontId="2"/>
  </si>
  <si>
    <t>025415000</t>
  </si>
  <si>
    <t>HB-1007TA</t>
    <phoneticPr fontId="2"/>
  </si>
  <si>
    <t>052489000</t>
  </si>
  <si>
    <t>SBM150WNT_8</t>
    <phoneticPr fontId="2"/>
  </si>
  <si>
    <t>041999000</t>
    <phoneticPr fontId="2"/>
  </si>
  <si>
    <t>AWH-1501A</t>
    <phoneticPr fontId="2"/>
  </si>
  <si>
    <t>105493000</t>
  </si>
  <si>
    <t>FAN-400T</t>
    <phoneticPr fontId="2"/>
  </si>
  <si>
    <t>32A 25F  1000L</t>
  </si>
  <si>
    <t>RF-5P</t>
    <phoneticPr fontId="2"/>
  </si>
  <si>
    <t>MT-5014</t>
    <phoneticPr fontId="2"/>
  </si>
  <si>
    <t xml:space="preserve">3,000ﾘｯﾄﾙ  </t>
    <phoneticPr fontId="2"/>
  </si>
  <si>
    <t>50Hz φ40 0.4kW</t>
    <phoneticPr fontId="2"/>
  </si>
  <si>
    <t>ﾌｨﾙﾀﾄﾞﾗｲﾔ</t>
    <phoneticPr fontId="2"/>
  </si>
  <si>
    <t>UWAA750A(30HP)</t>
    <phoneticPr fontId="2"/>
  </si>
  <si>
    <t>溶融亜鉛メッキ（SS400) 500H 200用</t>
    <rPh sb="23" eb="24">
      <t>ヨウ</t>
    </rPh>
    <phoneticPr fontId="2"/>
  </si>
  <si>
    <t>BOT-15000</t>
    <phoneticPr fontId="2"/>
  </si>
  <si>
    <t>102384000</t>
    <phoneticPr fontId="2"/>
  </si>
  <si>
    <t xml:space="preserve">BEP-20T2252   </t>
    <phoneticPr fontId="2"/>
  </si>
  <si>
    <t>φ550</t>
    <phoneticPr fontId="2"/>
  </si>
  <si>
    <t>051239000</t>
  </si>
  <si>
    <t>HK4030GCSV</t>
    <phoneticPr fontId="2"/>
  </si>
  <si>
    <t>051073000</t>
  </si>
  <si>
    <t>HK4030TFL</t>
  </si>
  <si>
    <t>038111000</t>
    <phoneticPr fontId="2"/>
  </si>
  <si>
    <t>HT-1202TE</t>
    <phoneticPr fontId="2"/>
  </si>
  <si>
    <t>32A 25F  1000L</t>
    <phoneticPr fontId="2"/>
  </si>
  <si>
    <t>煙道・煙突関連部材・掃除具ｾｯﾄ</t>
    <rPh sb="0" eb="2">
      <t>エンドウ</t>
    </rPh>
    <rPh sb="3" eb="5">
      <t>エントツ</t>
    </rPh>
    <rPh sb="5" eb="7">
      <t>カンレン</t>
    </rPh>
    <rPh sb="7" eb="8">
      <t>ブ</t>
    </rPh>
    <rPh sb="8" eb="9">
      <t>ザイ</t>
    </rPh>
    <rPh sb="10" eb="13">
      <t>ソウジグ</t>
    </rPh>
    <phoneticPr fontId="2"/>
  </si>
  <si>
    <t>ej3</t>
    <phoneticPr fontId="2"/>
  </si>
  <si>
    <t>　　----------</t>
    <phoneticPr fontId="2"/>
  </si>
  <si>
    <t>049831000</t>
    <phoneticPr fontId="2"/>
  </si>
  <si>
    <t>HK4030TEV</t>
  </si>
  <si>
    <t>051116000</t>
  </si>
  <si>
    <t>KA-325E</t>
    <phoneticPr fontId="2"/>
  </si>
  <si>
    <t>025417000</t>
  </si>
  <si>
    <t>HB-2007TA</t>
    <phoneticPr fontId="2"/>
  </si>
  <si>
    <t>052490000</t>
  </si>
  <si>
    <t>SBM150WMT_8</t>
    <phoneticPr fontId="2"/>
  </si>
  <si>
    <t>042000000</t>
    <phoneticPr fontId="2"/>
  </si>
  <si>
    <t>AWH-1801A</t>
    <phoneticPr fontId="2"/>
  </si>
  <si>
    <t>031741000</t>
    <phoneticPr fontId="2"/>
  </si>
  <si>
    <t>ﾈﾎﾟﾝVﾌｧﾝ</t>
    <phoneticPr fontId="2"/>
  </si>
  <si>
    <t>NVF-350T</t>
    <phoneticPr fontId="2"/>
  </si>
  <si>
    <t>RB0000313</t>
  </si>
  <si>
    <t>ST-3(2m)</t>
    <phoneticPr fontId="2"/>
  </si>
  <si>
    <t>RF-8P</t>
    <phoneticPr fontId="2"/>
  </si>
  <si>
    <t>MT-6014</t>
    <phoneticPr fontId="2"/>
  </si>
  <si>
    <t>50Hz φ40 0.75kW</t>
    <phoneticPr fontId="2"/>
  </si>
  <si>
    <t>溶融亜鉛メッキ（SS400) 500H 300用</t>
    <rPh sb="23" eb="24">
      <t>ヨウ</t>
    </rPh>
    <phoneticPr fontId="2"/>
  </si>
  <si>
    <t>BOT-20000</t>
    <phoneticPr fontId="2"/>
  </si>
  <si>
    <t>φ250*3本+Ｌ+Pﾄｯﾌﾟ</t>
    <phoneticPr fontId="2"/>
  </si>
  <si>
    <t>RE0000177</t>
    <phoneticPr fontId="2"/>
  </si>
  <si>
    <t>ﾊﾟﾜｰﾀﾞｸﾄ</t>
    <phoneticPr fontId="2"/>
  </si>
  <si>
    <t>折幅400×100m</t>
    <phoneticPr fontId="2"/>
  </si>
  <si>
    <t>φ600</t>
    <phoneticPr fontId="2"/>
  </si>
  <si>
    <t>051240000</t>
  </si>
  <si>
    <t>HK4030GESV</t>
    <phoneticPr fontId="2"/>
  </si>
  <si>
    <t>051057000</t>
  </si>
  <si>
    <t>HK5030TCL</t>
  </si>
  <si>
    <t>038112000</t>
    <phoneticPr fontId="2"/>
  </si>
  <si>
    <t>HT-1202TF</t>
    <phoneticPr fontId="2"/>
  </si>
  <si>
    <t>er3</t>
    <phoneticPr fontId="2"/>
  </si>
  <si>
    <t>機器搬入据付工事</t>
    <rPh sb="0" eb="2">
      <t>キキ</t>
    </rPh>
    <rPh sb="2" eb="4">
      <t>ハンニュウ</t>
    </rPh>
    <rPh sb="4" eb="6">
      <t>スエツケ</t>
    </rPh>
    <rPh sb="6" eb="8">
      <t>コウジ</t>
    </rPh>
    <phoneticPr fontId="2"/>
  </si>
  <si>
    <t>049832000</t>
    <phoneticPr fontId="2"/>
  </si>
  <si>
    <t>HK4030TFV</t>
  </si>
  <si>
    <t>051118000</t>
  </si>
  <si>
    <t>KA-325TE</t>
    <phoneticPr fontId="2"/>
  </si>
  <si>
    <t>025418000</t>
    <phoneticPr fontId="2"/>
  </si>
  <si>
    <t>HB-3007TA</t>
    <phoneticPr fontId="2"/>
  </si>
  <si>
    <t>052491000</t>
  </si>
  <si>
    <t>SBM150WLT_8</t>
    <phoneticPr fontId="2"/>
  </si>
  <si>
    <t>042001000</t>
    <phoneticPr fontId="2"/>
  </si>
  <si>
    <t>AWH-2001A</t>
    <phoneticPr fontId="2"/>
  </si>
  <si>
    <t>RB0000314</t>
  </si>
  <si>
    <t>ST-5(2m)</t>
    <phoneticPr fontId="2"/>
  </si>
  <si>
    <t>32A 32F  5500L</t>
  </si>
  <si>
    <t>RF-10P</t>
    <phoneticPr fontId="2"/>
  </si>
  <si>
    <t>MT-8014</t>
    <phoneticPr fontId="2"/>
  </si>
  <si>
    <t>50Hz φ40 1.5kW</t>
    <phoneticPr fontId="2"/>
  </si>
  <si>
    <t>048822000</t>
  </si>
  <si>
    <t>誰でもﾋｰﾎﾟﾝ</t>
    <phoneticPr fontId="2"/>
  </si>
  <si>
    <t>EHP61(ｾｯﾄ)</t>
    <phoneticPr fontId="2"/>
  </si>
  <si>
    <t>-</t>
  </si>
  <si>
    <t>空冷ﾋｰﾄﾎﾟﾝﾌﾟﾁﾗｰﾕﾆｯﾄ</t>
  </si>
  <si>
    <t>UWYA125A(5HP)</t>
    <phoneticPr fontId="2"/>
  </si>
  <si>
    <t>溶融亜鉛メッキ（SS400) 500H 500用</t>
    <rPh sb="23" eb="24">
      <t>ヨウ</t>
    </rPh>
    <phoneticPr fontId="2"/>
  </si>
  <si>
    <t>φ300*3本+L+Pﾄｯﾌﾟ</t>
    <phoneticPr fontId="2"/>
  </si>
  <si>
    <t>RE0000178</t>
    <phoneticPr fontId="2"/>
  </si>
  <si>
    <t xml:space="preserve">ｽﾊﾟｲﾗﾙﾀﾞｸﾄ(SUS) </t>
  </si>
  <si>
    <t>051241000</t>
  </si>
  <si>
    <t>HK4030GFSV</t>
    <phoneticPr fontId="2"/>
  </si>
  <si>
    <t>051067000</t>
  </si>
  <si>
    <t>HK5030TEL</t>
  </si>
  <si>
    <t>32A 32F  5500L</t>
    <phoneticPr fontId="2"/>
  </si>
  <si>
    <t>ｸﾞﾘｰﾝｿｰﾗ・ﾀﾞｲﾚｸﾄﾌｧﾝ</t>
    <phoneticPr fontId="2"/>
  </si>
  <si>
    <t>az3</t>
    <phoneticPr fontId="2"/>
  </si>
  <si>
    <t>機器取付工事</t>
    <rPh sb="0" eb="2">
      <t>キキ</t>
    </rPh>
    <rPh sb="2" eb="4">
      <t>トリツケ</t>
    </rPh>
    <rPh sb="4" eb="6">
      <t>コウジ</t>
    </rPh>
    <phoneticPr fontId="2"/>
  </si>
  <si>
    <t>051505000</t>
  </si>
  <si>
    <t>HK4030FRV</t>
    <phoneticPr fontId="2"/>
  </si>
  <si>
    <t>051120000</t>
  </si>
  <si>
    <t>KA-405TE</t>
    <phoneticPr fontId="2"/>
  </si>
  <si>
    <t>025421000</t>
  </si>
  <si>
    <t>HB-4007TA</t>
    <phoneticPr fontId="2"/>
  </si>
  <si>
    <t>046046000</t>
  </si>
  <si>
    <t>SBM150WNTJ_2（水道直結仕様）</t>
    <phoneticPr fontId="2"/>
  </si>
  <si>
    <t>017836000</t>
  </si>
  <si>
    <t>ﾀﾞｸﾄﾌｧﾝ</t>
    <phoneticPr fontId="2"/>
  </si>
  <si>
    <t>DF-450T</t>
    <phoneticPr fontId="2"/>
  </si>
  <si>
    <t>RB0000315</t>
  </si>
  <si>
    <t>ST-8(2m)</t>
    <phoneticPr fontId="2"/>
  </si>
  <si>
    <t>32A 32F  4000L</t>
  </si>
  <si>
    <t>RF-15P</t>
    <phoneticPr fontId="2"/>
  </si>
  <si>
    <t>MT-10014</t>
    <phoneticPr fontId="2"/>
  </si>
  <si>
    <t>50Hz φ40 2.2kW</t>
    <phoneticPr fontId="2"/>
  </si>
  <si>
    <t>028329000</t>
  </si>
  <si>
    <t>誰でもﾋｰﾎﾟﾝ(ﾁｬﾝﾊﾞｰﾀｲﾌﾟ)</t>
    <phoneticPr fontId="2"/>
  </si>
  <si>
    <t>EHP61C-N（室内機）</t>
    <phoneticPr fontId="2"/>
  </si>
  <si>
    <t>UWYA190A(8HP)</t>
    <phoneticPr fontId="2"/>
  </si>
  <si>
    <t>溶融亜鉛メッキ（SS400) 500H 750用</t>
    <rPh sb="23" eb="24">
      <t>ヨウ</t>
    </rPh>
    <phoneticPr fontId="2"/>
  </si>
  <si>
    <t>014963000</t>
    <phoneticPr fontId="2"/>
  </si>
  <si>
    <t xml:space="preserve">消火器      </t>
    <phoneticPr fontId="2"/>
  </si>
  <si>
    <t xml:space="preserve">ABC-10形      </t>
    <phoneticPr fontId="2"/>
  </si>
  <si>
    <t xml:space="preserve">本 </t>
    <phoneticPr fontId="2"/>
  </si>
  <si>
    <t>φ350*3本+L+Pﾄｯﾌﾟ</t>
    <phoneticPr fontId="2"/>
  </si>
  <si>
    <t>RE0000180</t>
    <phoneticPr fontId="2"/>
  </si>
  <si>
    <t>折幅550×100m</t>
    <phoneticPr fontId="2"/>
  </si>
  <si>
    <t>051075000</t>
  </si>
  <si>
    <t>HK5030TFL</t>
  </si>
  <si>
    <t>039196000</t>
    <phoneticPr fontId="2"/>
  </si>
  <si>
    <t>ｶﾜｲﾀｰ</t>
    <phoneticPr fontId="2"/>
  </si>
  <si>
    <t>KT1026TPF3</t>
    <phoneticPr fontId="2"/>
  </si>
  <si>
    <t>32A 32F  4000L</t>
    <phoneticPr fontId="2"/>
  </si>
  <si>
    <t>熱交換器</t>
    <rPh sb="0" eb="1">
      <t>ネツ</t>
    </rPh>
    <rPh sb="1" eb="3">
      <t>コウカンキ</t>
    </rPh>
    <rPh sb="3" eb="4">
      <t>キ</t>
    </rPh>
    <phoneticPr fontId="2"/>
  </si>
  <si>
    <t>bh3</t>
    <phoneticPr fontId="2"/>
  </si>
  <si>
    <t>機器架台及び据付工事</t>
    <rPh sb="0" eb="2">
      <t>キキ</t>
    </rPh>
    <rPh sb="2" eb="4">
      <t>カダイ</t>
    </rPh>
    <rPh sb="4" eb="5">
      <t>オヨ</t>
    </rPh>
    <phoneticPr fontId="2"/>
  </si>
  <si>
    <t>051781000</t>
  </si>
  <si>
    <t>HK4030GRV</t>
    <phoneticPr fontId="2"/>
  </si>
  <si>
    <t>052492000</t>
  </si>
  <si>
    <t>SBM150WMTJ_3（水道直結仕様）</t>
    <phoneticPr fontId="2"/>
  </si>
  <si>
    <t>042002000</t>
    <phoneticPr fontId="2"/>
  </si>
  <si>
    <t>AWH-501SA</t>
    <phoneticPr fontId="2"/>
  </si>
  <si>
    <t>018835000</t>
  </si>
  <si>
    <t>φ300吹出口ﾌﾗﾝｼﾞｾｯﾄ</t>
    <rPh sb="4" eb="6">
      <t>フキダ</t>
    </rPh>
    <rPh sb="6" eb="7">
      <t>クチ</t>
    </rPh>
    <phoneticPr fontId="2"/>
  </si>
  <si>
    <t>BFS-DFφ300</t>
    <phoneticPr fontId="2"/>
  </si>
  <si>
    <t>RB0000316</t>
  </si>
  <si>
    <t>ST-10(2m)</t>
    <phoneticPr fontId="2"/>
  </si>
  <si>
    <t>32A 32F  3500L</t>
  </si>
  <si>
    <t>RF-20P</t>
    <phoneticPr fontId="2"/>
  </si>
  <si>
    <t>036831000</t>
    <phoneticPr fontId="2"/>
  </si>
  <si>
    <t>EHP61G（室外機）</t>
  </si>
  <si>
    <t>UWYA250A(10HP)</t>
    <phoneticPr fontId="2"/>
  </si>
  <si>
    <t>溶融亜鉛メッキ（SS400) 500H 1000用</t>
    <rPh sb="24" eb="25">
      <t>ヨウ</t>
    </rPh>
    <phoneticPr fontId="2"/>
  </si>
  <si>
    <t xml:space="preserve">消火器      </t>
  </si>
  <si>
    <t xml:space="preserve">ABC-50形      </t>
    <phoneticPr fontId="2"/>
  </si>
  <si>
    <t xml:space="preserve">基 </t>
    <phoneticPr fontId="2"/>
  </si>
  <si>
    <t>RE0000174</t>
    <phoneticPr fontId="2"/>
  </si>
  <si>
    <t>051242000</t>
  </si>
  <si>
    <t>HK5030GCSV</t>
    <phoneticPr fontId="2"/>
  </si>
  <si>
    <t>051059000</t>
  </si>
  <si>
    <t>HK6030TCL</t>
  </si>
  <si>
    <t>039197000</t>
    <phoneticPr fontId="2"/>
  </si>
  <si>
    <t>KT1026TPG3</t>
    <phoneticPr fontId="2"/>
  </si>
  <si>
    <t>32A 32F  3500L</t>
    <phoneticPr fontId="2"/>
  </si>
  <si>
    <t>bp3</t>
    <phoneticPr fontId="2"/>
  </si>
  <si>
    <t>機器架台工事</t>
    <rPh sb="0" eb="2">
      <t>キキ</t>
    </rPh>
    <rPh sb="2" eb="4">
      <t>カダイ</t>
    </rPh>
    <phoneticPr fontId="2"/>
  </si>
  <si>
    <t>051782000</t>
  </si>
  <si>
    <t>HK4030TYV</t>
    <phoneticPr fontId="2"/>
  </si>
  <si>
    <t>042809000</t>
    <phoneticPr fontId="2"/>
  </si>
  <si>
    <t>小型温風機（LPガス焚き）</t>
  </si>
  <si>
    <t>KA-325EL</t>
    <phoneticPr fontId="2"/>
  </si>
  <si>
    <t>052493000</t>
  </si>
  <si>
    <t>SBM150WLTJ_3（水道直結仕様）</t>
    <phoneticPr fontId="2"/>
  </si>
  <si>
    <t>042003000</t>
    <phoneticPr fontId="2"/>
  </si>
  <si>
    <t>AWH-601SA</t>
    <phoneticPr fontId="2"/>
  </si>
  <si>
    <t>018834000</t>
  </si>
  <si>
    <t>φ400吹出口ﾌﾗﾝｼﾞｾｯﾄ</t>
    <rPh sb="4" eb="6">
      <t>フキダ</t>
    </rPh>
    <rPh sb="6" eb="7">
      <t>クチ</t>
    </rPh>
    <phoneticPr fontId="2"/>
  </si>
  <si>
    <t>BFS-DFφ400</t>
    <phoneticPr fontId="2"/>
  </si>
  <si>
    <t>RB0000317</t>
  </si>
  <si>
    <t>ST-20(2m)</t>
    <phoneticPr fontId="2"/>
  </si>
  <si>
    <t>32A 32F  3000L</t>
  </si>
  <si>
    <t>ﾗｲﾝﾎﾟﾝﾌﾟ</t>
  </si>
  <si>
    <t>50Hz φ50 0.4kW</t>
    <phoneticPr fontId="2"/>
  </si>
  <si>
    <t>025678000</t>
    <phoneticPr fontId="2"/>
  </si>
  <si>
    <t>操作盤</t>
    <rPh sb="0" eb="3">
      <t>ソウサバン</t>
    </rPh>
    <phoneticPr fontId="2"/>
  </si>
  <si>
    <t>EHPOB　(EHP61用)</t>
    <phoneticPr fontId="2"/>
  </si>
  <si>
    <t>面</t>
    <rPh sb="0" eb="1">
      <t>メン</t>
    </rPh>
    <phoneticPr fontId="2"/>
  </si>
  <si>
    <t>UWYA375A(15HP)</t>
    <phoneticPr fontId="2"/>
  </si>
  <si>
    <t>174001000</t>
    <phoneticPr fontId="2"/>
  </si>
  <si>
    <t xml:space="preserve">格納箱      </t>
  </si>
  <si>
    <t xml:space="preserve">ABC-10用      </t>
    <phoneticPr fontId="2"/>
  </si>
  <si>
    <t xml:space="preserve">個 </t>
    <phoneticPr fontId="2"/>
  </si>
  <si>
    <t>050735000</t>
  </si>
  <si>
    <t>煙室ｾｯﾄ</t>
  </si>
  <si>
    <t>ES-2330</t>
    <phoneticPr fontId="2"/>
  </si>
  <si>
    <t>RE0000175</t>
    <phoneticPr fontId="2"/>
  </si>
  <si>
    <t>051243000</t>
  </si>
  <si>
    <t>HK5030GESV</t>
    <phoneticPr fontId="2"/>
  </si>
  <si>
    <t>051069000</t>
  </si>
  <si>
    <t>HK6030TEL</t>
  </si>
  <si>
    <t>039198000</t>
    <phoneticPr fontId="2"/>
  </si>
  <si>
    <t>KT1526TPF3</t>
    <phoneticPr fontId="2"/>
  </si>
  <si>
    <t>32A 32F  3000L</t>
    <phoneticPr fontId="2"/>
  </si>
  <si>
    <t>ｇv3</t>
    <phoneticPr fontId="2"/>
  </si>
  <si>
    <t>機器基礎工事</t>
    <rPh sb="0" eb="2">
      <t>キキ</t>
    </rPh>
    <rPh sb="2" eb="6">
      <t>ドウジョウキソコウジ</t>
    </rPh>
    <phoneticPr fontId="2"/>
  </si>
  <si>
    <t>049833000</t>
    <phoneticPr fontId="2"/>
  </si>
  <si>
    <t>HK5030TCV</t>
  </si>
  <si>
    <t>042793000</t>
    <phoneticPr fontId="2"/>
  </si>
  <si>
    <t>小型温風機（13Aガス焚き）</t>
  </si>
  <si>
    <t>KA-325EN</t>
    <phoneticPr fontId="2"/>
  </si>
  <si>
    <t>042004000</t>
    <phoneticPr fontId="2"/>
  </si>
  <si>
    <t>AWH-701SA</t>
    <phoneticPr fontId="2"/>
  </si>
  <si>
    <t>018836000</t>
  </si>
  <si>
    <t>φ400ﾌﾗﾝｼﾞ取付板ｾｯﾄ</t>
    <rPh sb="9" eb="11">
      <t>トリツケ</t>
    </rPh>
    <rPh sb="11" eb="12">
      <t>イタ</t>
    </rPh>
    <phoneticPr fontId="2"/>
  </si>
  <si>
    <t>BFS-DF400S</t>
    <phoneticPr fontId="2"/>
  </si>
  <si>
    <t>枚</t>
    <rPh sb="0" eb="1">
      <t>マイ</t>
    </rPh>
    <phoneticPr fontId="2"/>
  </si>
  <si>
    <t>32A 32F  2750L</t>
  </si>
  <si>
    <t>50Hz φ50 0.75kW</t>
    <phoneticPr fontId="2"/>
  </si>
  <si>
    <t>027332000</t>
    <phoneticPr fontId="2"/>
  </si>
  <si>
    <t>送風機増速盤</t>
    <rPh sb="0" eb="3">
      <t>ソウフウキ</t>
    </rPh>
    <rPh sb="3" eb="5">
      <t>ゾウソク</t>
    </rPh>
    <rPh sb="5" eb="6">
      <t>バン</t>
    </rPh>
    <phoneticPr fontId="2"/>
  </si>
  <si>
    <t>EHPFC (50Hz電源用)</t>
    <rPh sb="11" eb="14">
      <t>デンゲンヨウ</t>
    </rPh>
    <phoneticPr fontId="2"/>
  </si>
  <si>
    <t>空冷ﾋｰﾄﾎﾟﾝﾌﾟﾁﾗｰﾕﾆｯﾄ</t>
    <phoneticPr fontId="2"/>
  </si>
  <si>
    <t>UWYA500A(20HP)</t>
    <phoneticPr fontId="2"/>
  </si>
  <si>
    <t>HUW-40 ボールタップ一般型</t>
  </si>
  <si>
    <t xml:space="preserve">ABC-50用      </t>
    <phoneticPr fontId="2"/>
  </si>
  <si>
    <t>050736000</t>
  </si>
  <si>
    <t>ES-4030</t>
    <phoneticPr fontId="2"/>
  </si>
  <si>
    <t>RE0000176</t>
    <phoneticPr fontId="2"/>
  </si>
  <si>
    <t>051244000</t>
  </si>
  <si>
    <t>HK5030GFSV</t>
    <phoneticPr fontId="2"/>
  </si>
  <si>
    <t>051077000</t>
  </si>
  <si>
    <t>HK6030TFL</t>
  </si>
  <si>
    <t>105850000</t>
    <phoneticPr fontId="2"/>
  </si>
  <si>
    <t>KT1526TPHF</t>
    <phoneticPr fontId="2"/>
  </si>
  <si>
    <t>32A 32F  2750L</t>
    <phoneticPr fontId="2"/>
  </si>
  <si>
    <t>fx3</t>
    <phoneticPr fontId="2"/>
  </si>
  <si>
    <t>煙突支持取付工事</t>
    <rPh sb="0" eb="2">
      <t>エントツ</t>
    </rPh>
    <rPh sb="2" eb="4">
      <t>シジ</t>
    </rPh>
    <rPh sb="4" eb="6">
      <t>トリツケ</t>
    </rPh>
    <rPh sb="6" eb="8">
      <t>コウジ</t>
    </rPh>
    <phoneticPr fontId="2"/>
  </si>
  <si>
    <t>049834000</t>
    <phoneticPr fontId="2"/>
  </si>
  <si>
    <t>HK5030TEV</t>
  </si>
  <si>
    <t>042812000</t>
    <phoneticPr fontId="2"/>
  </si>
  <si>
    <t>KA-325TEL</t>
    <phoneticPr fontId="2"/>
  </si>
  <si>
    <t>046049000</t>
    <phoneticPr fontId="2"/>
  </si>
  <si>
    <t>SBM150HNT_4 13A 高温出湯</t>
    <phoneticPr fontId="2"/>
  </si>
  <si>
    <t>042005000</t>
    <phoneticPr fontId="2"/>
  </si>
  <si>
    <t>AWH-801SA</t>
    <phoneticPr fontId="2"/>
  </si>
  <si>
    <t>018837000</t>
  </si>
  <si>
    <t>架台ｾｯﾄ</t>
    <rPh sb="0" eb="2">
      <t>カダイ</t>
    </rPh>
    <phoneticPr fontId="2"/>
  </si>
  <si>
    <t>BKD-DF</t>
    <phoneticPr fontId="2"/>
  </si>
  <si>
    <t>103419000</t>
    <phoneticPr fontId="2"/>
  </si>
  <si>
    <t>熱交換器ｺｲﾙ</t>
    <rPh sb="0" eb="3">
      <t>ネツコウカン</t>
    </rPh>
    <rPh sb="3" eb="4">
      <t>キ</t>
    </rPh>
    <phoneticPr fontId="2"/>
  </si>
  <si>
    <t>BNC-150</t>
    <phoneticPr fontId="2"/>
  </si>
  <si>
    <t>32A 32F  2000L</t>
  </si>
  <si>
    <t>50Hz φ50 1.5kW</t>
    <phoneticPr fontId="2"/>
  </si>
  <si>
    <t>019031000</t>
  </si>
  <si>
    <t>ﾌｧﾝﾀｲﾏｾｯﾄ</t>
    <phoneticPr fontId="2"/>
  </si>
  <si>
    <t>EHPCX</t>
    <phoneticPr fontId="2"/>
  </si>
  <si>
    <t>UWYA630A(25HP)</t>
    <phoneticPr fontId="2"/>
  </si>
  <si>
    <t>HUW-60 ボールタップ一般型</t>
  </si>
  <si>
    <t xml:space="preserve">危険物看板  </t>
  </si>
  <si>
    <t xml:space="preserve">火気厳禁他1点    </t>
    <rPh sb="6" eb="7">
      <t>テン</t>
    </rPh>
    <phoneticPr fontId="2"/>
  </si>
  <si>
    <t>050737000</t>
  </si>
  <si>
    <t>ES-5630</t>
    <phoneticPr fontId="2"/>
  </si>
  <si>
    <t>RE0000181</t>
    <phoneticPr fontId="2"/>
  </si>
  <si>
    <t>HK8030TCL</t>
    <phoneticPr fontId="2"/>
  </si>
  <si>
    <t>039003000</t>
    <phoneticPr fontId="2"/>
  </si>
  <si>
    <t>KT1526TPFW</t>
    <phoneticPr fontId="2"/>
  </si>
  <si>
    <t>32A 32F  2000L</t>
    <phoneticPr fontId="2"/>
  </si>
  <si>
    <t>bx3</t>
    <phoneticPr fontId="2"/>
  </si>
  <si>
    <t>煙突取付工事</t>
    <rPh sb="0" eb="2">
      <t>エントツ</t>
    </rPh>
    <rPh sb="2" eb="4">
      <t>トリツケ</t>
    </rPh>
    <rPh sb="4" eb="6">
      <t>コウジ</t>
    </rPh>
    <phoneticPr fontId="2"/>
  </si>
  <si>
    <t>049835000</t>
    <phoneticPr fontId="2"/>
  </si>
  <si>
    <t>HK5030TFV</t>
  </si>
  <si>
    <t>042810000</t>
    <phoneticPr fontId="2"/>
  </si>
  <si>
    <t>KA-325TEN</t>
    <phoneticPr fontId="2"/>
  </si>
  <si>
    <t>052495000</t>
  </si>
  <si>
    <t>SBM150HNT_5 13A 高温出湯</t>
  </si>
  <si>
    <t>042006000</t>
    <phoneticPr fontId="2"/>
  </si>
  <si>
    <t>AWH-901SA</t>
    <phoneticPr fontId="2"/>
  </si>
  <si>
    <t>018838000</t>
  </si>
  <si>
    <t>ﾁｬﾝﾊﾞﾎﾞｯｸｽ</t>
    <phoneticPr fontId="2"/>
  </si>
  <si>
    <t>BCB-DF</t>
    <phoneticPr fontId="2"/>
  </si>
  <si>
    <t>32A 32F  1500L</t>
  </si>
  <si>
    <t>50Hz φ50 2.2kW</t>
    <phoneticPr fontId="2"/>
  </si>
  <si>
    <t>019037000</t>
  </si>
  <si>
    <t>ﾈﾎﾟﾝｻｰﾓｾｯﾄ</t>
    <phoneticPr fontId="2"/>
  </si>
  <si>
    <t>UWYA750A(30HP)</t>
    <phoneticPr fontId="2"/>
  </si>
  <si>
    <t>HUW-80 ボールタップ一般型</t>
  </si>
  <si>
    <t>同上取付金具</t>
  </si>
  <si>
    <t>(取付を含む)</t>
    <phoneticPr fontId="2"/>
  </si>
  <si>
    <t xml:space="preserve">式 </t>
    <phoneticPr fontId="2"/>
  </si>
  <si>
    <t>050738000</t>
  </si>
  <si>
    <t>ES-8030</t>
    <phoneticPr fontId="2"/>
  </si>
  <si>
    <t>RE0000182</t>
    <phoneticPr fontId="2"/>
  </si>
  <si>
    <t>φ450</t>
    <phoneticPr fontId="2"/>
  </si>
  <si>
    <t>051245000</t>
  </si>
  <si>
    <t>HK6030GCSV</t>
    <phoneticPr fontId="2"/>
  </si>
  <si>
    <t>007369000</t>
    <phoneticPr fontId="2"/>
  </si>
  <si>
    <t>KT1526TPHFW</t>
    <phoneticPr fontId="2"/>
  </si>
  <si>
    <t>32A 32F  1500L</t>
    <phoneticPr fontId="2"/>
  </si>
  <si>
    <t>ﾗｲﾝﾎﾟﾝﾌﾟ</t>
    <phoneticPr fontId="2"/>
  </si>
  <si>
    <t>cv3</t>
    <phoneticPr fontId="2"/>
  </si>
  <si>
    <t>煙道・煙突取付工事</t>
    <rPh sb="0" eb="2">
      <t>エンドウ</t>
    </rPh>
    <rPh sb="3" eb="5">
      <t>エントツ</t>
    </rPh>
    <rPh sb="5" eb="7">
      <t>トリツケ</t>
    </rPh>
    <rPh sb="7" eb="9">
      <t>コウジ</t>
    </rPh>
    <phoneticPr fontId="2"/>
  </si>
  <si>
    <t>049836000</t>
    <phoneticPr fontId="2"/>
  </si>
  <si>
    <t>HK6030TCV</t>
  </si>
  <si>
    <t>052496000</t>
  </si>
  <si>
    <t>SBM150HMT_5 12A 高温出湯</t>
    <phoneticPr fontId="2"/>
  </si>
  <si>
    <t>042007000</t>
    <phoneticPr fontId="2"/>
  </si>
  <si>
    <t>AWH-1001SA</t>
    <phoneticPr fontId="2"/>
  </si>
  <si>
    <t>32A 32F  1000L</t>
  </si>
  <si>
    <t>50Hz φ50 3.7kW</t>
    <phoneticPr fontId="2"/>
  </si>
  <si>
    <t>039749000</t>
    <phoneticPr fontId="2"/>
  </si>
  <si>
    <t>EHPﾊｲﾌﾞﾘｯﾄﾞ制御基板ｾｯﾄ</t>
    <phoneticPr fontId="2"/>
  </si>
  <si>
    <t>EHP-HCS</t>
    <phoneticPr fontId="2"/>
  </si>
  <si>
    <t>HUW-100 ボールタップ一般型</t>
  </si>
  <si>
    <t>044668000</t>
  </si>
  <si>
    <t>消火器設置台</t>
    <rPh sb="3" eb="5">
      <t>セッチ</t>
    </rPh>
    <rPh sb="5" eb="6">
      <t>ダイ</t>
    </rPh>
    <phoneticPr fontId="2"/>
  </si>
  <si>
    <t>ＶＴ１ＲＢ</t>
    <phoneticPr fontId="2"/>
  </si>
  <si>
    <t>105768000</t>
  </si>
  <si>
    <t>ES-2327</t>
    <phoneticPr fontId="2"/>
  </si>
  <si>
    <t>RE0000183</t>
    <phoneticPr fontId="2"/>
  </si>
  <si>
    <t>折幅550×200m(0.07)</t>
    <phoneticPr fontId="2"/>
  </si>
  <si>
    <t>051246000</t>
  </si>
  <si>
    <t>HK6030GESV</t>
    <phoneticPr fontId="2"/>
  </si>
  <si>
    <t>051052000</t>
  </si>
  <si>
    <t>ﾊｳｽｶｵﾝｷ（13Aｶﾞｽ焚き）</t>
  </si>
  <si>
    <t>HK2030TCN</t>
  </si>
  <si>
    <t>039200000</t>
    <phoneticPr fontId="2"/>
  </si>
  <si>
    <t>KT2026TPF3</t>
    <phoneticPr fontId="2"/>
  </si>
  <si>
    <t>32A 32F  1000L</t>
    <phoneticPr fontId="2"/>
  </si>
  <si>
    <t>ﾊﾟｯｹｰｼﾞｴｱｺﾝ(NGP・重工)</t>
    <rPh sb="16" eb="18">
      <t>ジュウコウ</t>
    </rPh>
    <phoneticPr fontId="2"/>
  </si>
  <si>
    <t>dd3</t>
    <phoneticPr fontId="2"/>
  </si>
  <si>
    <t>煙道保温工事</t>
    <rPh sb="0" eb="2">
      <t>エンドウ</t>
    </rPh>
    <rPh sb="2" eb="4">
      <t>ホオン</t>
    </rPh>
    <rPh sb="4" eb="6">
      <t>コウジ</t>
    </rPh>
    <phoneticPr fontId="2"/>
  </si>
  <si>
    <t>049837000</t>
    <phoneticPr fontId="2"/>
  </si>
  <si>
    <t>HK6030TEV</t>
  </si>
  <si>
    <t>051160000</t>
  </si>
  <si>
    <t>ｸﾞﾛｳｴｱ（灯油焚き）</t>
  </si>
  <si>
    <t>CG-254S1</t>
    <phoneticPr fontId="2"/>
  </si>
  <si>
    <t>046051000</t>
    <phoneticPr fontId="2"/>
  </si>
  <si>
    <t>SBM150HLT_4 LPG 高温出湯</t>
    <phoneticPr fontId="2"/>
  </si>
  <si>
    <t>042008000</t>
    <phoneticPr fontId="2"/>
  </si>
  <si>
    <t>AWH-1201SA</t>
    <phoneticPr fontId="2"/>
  </si>
  <si>
    <t>HUW-150 ボールタップ一般型</t>
  </si>
  <si>
    <t>105769000</t>
  </si>
  <si>
    <t>ES-4027</t>
    <phoneticPr fontId="2"/>
  </si>
  <si>
    <t>051247000</t>
  </si>
  <si>
    <t>HK6030GFSV</t>
    <phoneticPr fontId="2"/>
  </si>
  <si>
    <t>051062000</t>
  </si>
  <si>
    <t>HK2030TEN</t>
  </si>
  <si>
    <t>105852000</t>
    <phoneticPr fontId="2"/>
  </si>
  <si>
    <t>KT2026TPHF</t>
    <phoneticPr fontId="2"/>
  </si>
  <si>
    <t>ﾁﾗｰﾕﾆｯﾄ(ﾀﾞｲｷﾝ)</t>
    <phoneticPr fontId="2"/>
  </si>
  <si>
    <t>dl3</t>
    <phoneticPr fontId="2"/>
  </si>
  <si>
    <t>049838000</t>
    <phoneticPr fontId="2"/>
  </si>
  <si>
    <t>HK6030TFV</t>
  </si>
  <si>
    <t>051161000</t>
  </si>
  <si>
    <t>CG-254S2</t>
    <phoneticPr fontId="2"/>
  </si>
  <si>
    <t>052497000</t>
  </si>
  <si>
    <t>SBM150HLT_5 LPG 高温出湯</t>
  </si>
  <si>
    <t>042009000</t>
    <phoneticPr fontId="2"/>
  </si>
  <si>
    <t>AWH-1501SA</t>
    <phoneticPr fontId="2"/>
  </si>
  <si>
    <t>40A 25F  5500L</t>
    <phoneticPr fontId="2"/>
  </si>
  <si>
    <t>50Hz φ65 0.75kW</t>
    <phoneticPr fontId="2"/>
  </si>
  <si>
    <t>溶融亜鉛メッキ（SS400) 500H 40用</t>
    <rPh sb="22" eb="23">
      <t>ヨウ</t>
    </rPh>
    <phoneticPr fontId="2"/>
  </si>
  <si>
    <t xml:space="preserve">ｵｲﾙﾀﾝｸ   </t>
    <phoneticPr fontId="2"/>
  </si>
  <si>
    <t>KS1-399SZ</t>
    <phoneticPr fontId="2"/>
  </si>
  <si>
    <t>105770000</t>
  </si>
  <si>
    <t>ES-5627</t>
    <phoneticPr fontId="2"/>
  </si>
  <si>
    <t>RE0000080</t>
  </si>
  <si>
    <t xml:space="preserve">ｸﾛｽﾗﾑﾀﾞｸﾄ </t>
    <phoneticPr fontId="2"/>
  </si>
  <si>
    <t>折幅630×15m</t>
    <rPh sb="0" eb="2">
      <t>オリハバ</t>
    </rPh>
    <phoneticPr fontId="2"/>
  </si>
  <si>
    <t>051054000</t>
  </si>
  <si>
    <t>HK3030TCN</t>
  </si>
  <si>
    <t>039202000</t>
    <phoneticPr fontId="2"/>
  </si>
  <si>
    <t>KT2026TPG3</t>
    <phoneticPr fontId="2"/>
  </si>
  <si>
    <t>cf3</t>
    <phoneticPr fontId="2"/>
  </si>
  <si>
    <t>ｴﾛﾌｨﾝ取付工事</t>
    <rPh sb="5" eb="7">
      <t>トリツケ</t>
    </rPh>
    <rPh sb="7" eb="9">
      <t>コウジ</t>
    </rPh>
    <phoneticPr fontId="2"/>
  </si>
  <si>
    <t>050747000</t>
  </si>
  <si>
    <t>HK8030GCV</t>
    <phoneticPr fontId="2"/>
  </si>
  <si>
    <t>051162000</t>
  </si>
  <si>
    <t>CG-554T2</t>
    <phoneticPr fontId="2"/>
  </si>
  <si>
    <t>052498000</t>
  </si>
  <si>
    <t>SBM150HNTJ_2 13A 高温,直結</t>
    <phoneticPr fontId="2"/>
  </si>
  <si>
    <t xml:space="preserve"> </t>
    <phoneticPr fontId="2"/>
  </si>
  <si>
    <t>40A 25F  4000L</t>
    <phoneticPr fontId="2"/>
  </si>
  <si>
    <t>50Hz φ65 1.5kW</t>
    <phoneticPr fontId="2"/>
  </si>
  <si>
    <t>溶融亜鉛メッキ（SS400) 500H 60用</t>
    <rPh sb="22" eb="23">
      <t>ヨウ</t>
    </rPh>
    <phoneticPr fontId="2"/>
  </si>
  <si>
    <t>KS2-490SJ</t>
    <phoneticPr fontId="2"/>
  </si>
  <si>
    <t>039393000</t>
    <phoneticPr fontId="2"/>
  </si>
  <si>
    <t>ES-8026</t>
    <phoneticPr fontId="2"/>
  </si>
  <si>
    <t>RE0000081</t>
  </si>
  <si>
    <t xml:space="preserve">ｸﾛｽﾗﾑﾀﾞｸﾄ </t>
  </si>
  <si>
    <t>折幅630×20m</t>
    <rPh sb="0" eb="2">
      <t>オリハバ</t>
    </rPh>
    <phoneticPr fontId="2"/>
  </si>
  <si>
    <t xml:space="preserve">ﾀﾞｸﾄﾍﾞﾝﾄﾞ(亜鉛) </t>
  </si>
  <si>
    <t>個</t>
    <phoneticPr fontId="2"/>
  </si>
  <si>
    <t>044722000</t>
    <phoneticPr fontId="2"/>
  </si>
  <si>
    <t>ﾊﾟﾈﾙﾌﾚｯｼｬｰ</t>
  </si>
  <si>
    <t>HFP-1503</t>
  </si>
  <si>
    <t>HK8030GCSV</t>
    <phoneticPr fontId="2"/>
  </si>
  <si>
    <t>051064000</t>
  </si>
  <si>
    <t>HK3030TEN</t>
  </si>
  <si>
    <t>026284000</t>
    <phoneticPr fontId="2"/>
  </si>
  <si>
    <t>KT2026TPHG</t>
    <phoneticPr fontId="2"/>
  </si>
  <si>
    <t>cn3</t>
    <phoneticPr fontId="2"/>
  </si>
  <si>
    <t>支持金具取付工事</t>
    <rPh sb="0" eb="2">
      <t>シジ</t>
    </rPh>
    <rPh sb="2" eb="4">
      <t>カナグ</t>
    </rPh>
    <rPh sb="4" eb="6">
      <t>トリツケ</t>
    </rPh>
    <rPh sb="6" eb="8">
      <t>コウジ</t>
    </rPh>
    <phoneticPr fontId="2"/>
  </si>
  <si>
    <t>050748000</t>
  </si>
  <si>
    <t>HK8030GFV</t>
    <phoneticPr fontId="2"/>
  </si>
  <si>
    <t>051163000</t>
  </si>
  <si>
    <t>CG-854T2</t>
    <phoneticPr fontId="2"/>
  </si>
  <si>
    <t>052499000</t>
  </si>
  <si>
    <t>SBM150HMTJ_2 12A 高温,直結</t>
    <phoneticPr fontId="2"/>
  </si>
  <si>
    <t>042029000</t>
  </si>
  <si>
    <t>AWH-501GBL</t>
    <phoneticPr fontId="2"/>
  </si>
  <si>
    <t>40A 25F  3500L</t>
    <phoneticPr fontId="2"/>
  </si>
  <si>
    <t>50Hz φ65 2.2kW</t>
    <phoneticPr fontId="2"/>
  </si>
  <si>
    <t>溶融亜鉛メッキ（SS400) 500H 80用</t>
    <rPh sb="22" eb="23">
      <t>ヨウ</t>
    </rPh>
    <phoneticPr fontId="2"/>
  </si>
  <si>
    <t>YMA-990G1</t>
    <phoneticPr fontId="2"/>
  </si>
  <si>
    <t>RE0000082</t>
  </si>
  <si>
    <t>折幅630×30m</t>
    <rPh sb="0" eb="2">
      <t>オリハバ</t>
    </rPh>
    <phoneticPr fontId="2"/>
  </si>
  <si>
    <t>HK8030GFSV</t>
    <phoneticPr fontId="2"/>
  </si>
  <si>
    <t>051072000</t>
  </si>
  <si>
    <t>HK3030TFN</t>
  </si>
  <si>
    <t>膨張ﾀﾝｸ(ﾎｰｺｽ)</t>
    <rPh sb="0" eb="2">
      <t>ボウチョウ</t>
    </rPh>
    <phoneticPr fontId="2"/>
  </si>
  <si>
    <t>dt3</t>
    <phoneticPr fontId="2"/>
  </si>
  <si>
    <t>050745000</t>
  </si>
  <si>
    <t>HK8030FCV</t>
    <phoneticPr fontId="2"/>
  </si>
  <si>
    <t>052500000</t>
  </si>
  <si>
    <t>SBM150HLTJ_2 LPG 高温,直結</t>
    <phoneticPr fontId="2"/>
  </si>
  <si>
    <t>042031000</t>
    <phoneticPr fontId="2"/>
  </si>
  <si>
    <t>AWH-601GBL</t>
    <phoneticPr fontId="2"/>
  </si>
  <si>
    <t>40A 25F  3000L</t>
    <phoneticPr fontId="2"/>
  </si>
  <si>
    <t>50Hz φ65 3.7kW</t>
    <phoneticPr fontId="2"/>
  </si>
  <si>
    <t>溶融亜鉛メッキ（SS400) 500H 100用</t>
    <rPh sb="23" eb="24">
      <t>ヨウ</t>
    </rPh>
    <phoneticPr fontId="2"/>
  </si>
  <si>
    <t>防油堤</t>
    <rPh sb="0" eb="3">
      <t>ボウユテイ</t>
    </rPh>
    <phoneticPr fontId="2"/>
  </si>
  <si>
    <t>AL-500G</t>
    <phoneticPr fontId="2"/>
  </si>
  <si>
    <t>308793000</t>
  </si>
  <si>
    <t xml:space="preserve">煙突直管 </t>
  </si>
  <si>
    <t>φ120</t>
    <phoneticPr fontId="2"/>
  </si>
  <si>
    <t>本</t>
    <phoneticPr fontId="2"/>
  </si>
  <si>
    <t>RE0000083</t>
  </si>
  <si>
    <t>折幅630×40m</t>
    <rPh sb="0" eb="2">
      <t>オリハバ</t>
    </rPh>
    <phoneticPr fontId="2"/>
  </si>
  <si>
    <t>051056000</t>
  </si>
  <si>
    <t>HK4030TCN</t>
  </si>
  <si>
    <t>ｵｲﾙﾀﾝｸ・消防関連</t>
    <rPh sb="7" eb="9">
      <t>ショウボウ</t>
    </rPh>
    <rPh sb="9" eb="11">
      <t>カンレン</t>
    </rPh>
    <phoneticPr fontId="2"/>
  </si>
  <si>
    <t>eb3</t>
    <phoneticPr fontId="2"/>
  </si>
  <si>
    <t>矩体の孔明け補修工事</t>
    <rPh sb="0" eb="2">
      <t>クタイ</t>
    </rPh>
    <rPh sb="3" eb="5">
      <t>アナア</t>
    </rPh>
    <rPh sb="6" eb="10">
      <t>ホシュウコウジ</t>
    </rPh>
    <phoneticPr fontId="2"/>
  </si>
  <si>
    <t>050746000</t>
  </si>
  <si>
    <t>HK8030FFV</t>
    <phoneticPr fontId="2"/>
  </si>
  <si>
    <t>031617000</t>
    <phoneticPr fontId="2"/>
  </si>
  <si>
    <t>ｸﾞﾛｳｴｱ（LPガス焚き）</t>
  </si>
  <si>
    <t>CG-205SL</t>
    <phoneticPr fontId="2"/>
  </si>
  <si>
    <t>042033000</t>
    <phoneticPr fontId="2"/>
  </si>
  <si>
    <t>AWH-701GBL</t>
    <phoneticPr fontId="2"/>
  </si>
  <si>
    <t>40A 25F  2750L</t>
    <phoneticPr fontId="2"/>
  </si>
  <si>
    <t>50Hz φ65 5.5kW</t>
    <phoneticPr fontId="2"/>
  </si>
  <si>
    <t>溶融亜鉛メッキ（SS400) 500H 150用</t>
    <rPh sb="23" eb="24">
      <t>ヨウ</t>
    </rPh>
    <phoneticPr fontId="2"/>
  </si>
  <si>
    <t>BYT-490K</t>
    <phoneticPr fontId="2"/>
  </si>
  <si>
    <t>181571000</t>
  </si>
  <si>
    <t>φ150</t>
    <phoneticPr fontId="2"/>
  </si>
  <si>
    <t>RE0000084</t>
  </si>
  <si>
    <t>折幅630×50m</t>
    <rPh sb="0" eb="2">
      <t>オリハバ</t>
    </rPh>
    <phoneticPr fontId="2"/>
  </si>
  <si>
    <t>051066000</t>
  </si>
  <si>
    <t>HK4030TEN</t>
  </si>
  <si>
    <t>ez3</t>
    <phoneticPr fontId="2"/>
  </si>
  <si>
    <t>孔明け補修工事</t>
    <rPh sb="0" eb="2">
      <t>アナア</t>
    </rPh>
    <rPh sb="3" eb="7">
      <t>ホシュウコウジ</t>
    </rPh>
    <phoneticPr fontId="2"/>
  </si>
  <si>
    <t>041665000</t>
    <phoneticPr fontId="2"/>
  </si>
  <si>
    <t>CG-205用架台セット</t>
    <rPh sb="6" eb="7">
      <t>ヨウ</t>
    </rPh>
    <phoneticPr fontId="2"/>
  </si>
  <si>
    <t>BCK-1100</t>
    <phoneticPr fontId="2"/>
  </si>
  <si>
    <t>043555000</t>
    <phoneticPr fontId="2"/>
  </si>
  <si>
    <t>SBM150UNT_2</t>
  </si>
  <si>
    <t>042035000</t>
    <phoneticPr fontId="2"/>
  </si>
  <si>
    <t>AWH-801GBL</t>
    <phoneticPr fontId="2"/>
  </si>
  <si>
    <t>40A 25F  2000L</t>
    <phoneticPr fontId="2"/>
  </si>
  <si>
    <t>NS1.9A(ﾌﾟﾚｷｬｽﾄ)</t>
    <phoneticPr fontId="2"/>
  </si>
  <si>
    <t>131575000</t>
  </si>
  <si>
    <t>φ175</t>
    <phoneticPr fontId="2"/>
  </si>
  <si>
    <t>RE0000085</t>
  </si>
  <si>
    <t>折幅630×100m</t>
    <rPh sb="0" eb="2">
      <t>オリハバ</t>
    </rPh>
    <phoneticPr fontId="2"/>
  </si>
  <si>
    <t>051074000</t>
  </si>
  <si>
    <t>HK4030TFN</t>
  </si>
  <si>
    <t>ｱﾙﾐﾌﾚｷﾀﾞｸﾄ</t>
    <phoneticPr fontId="2"/>
  </si>
  <si>
    <t>fh3</t>
    <phoneticPr fontId="2"/>
  </si>
  <si>
    <t>ﾀﾞｸﾄ敷設工事</t>
    <rPh sb="4" eb="8">
      <t>フセツコウジ</t>
    </rPh>
    <phoneticPr fontId="2"/>
  </si>
  <si>
    <t>052771000</t>
  </si>
  <si>
    <t>ﾊｳｽｶｵﾝｷ</t>
  </si>
  <si>
    <t>HK2029TCV</t>
    <phoneticPr fontId="2"/>
  </si>
  <si>
    <t>051167000</t>
  </si>
  <si>
    <t>CG-254S1G</t>
    <phoneticPr fontId="2"/>
  </si>
  <si>
    <t>043557000</t>
    <phoneticPr fontId="2"/>
  </si>
  <si>
    <t>SBM150ULT_2</t>
  </si>
  <si>
    <t>042037000</t>
    <phoneticPr fontId="2"/>
  </si>
  <si>
    <t>AWH-901GBL</t>
    <phoneticPr fontId="2"/>
  </si>
  <si>
    <t>40A 25F  1500L</t>
    <phoneticPr fontId="2"/>
  </si>
  <si>
    <t>50Hz φ80 1.5kW</t>
    <phoneticPr fontId="2"/>
  </si>
  <si>
    <t>密閉膨張ﾀﾝｸ</t>
  </si>
  <si>
    <t>ER-8   5.3L</t>
    <phoneticPr fontId="2"/>
  </si>
  <si>
    <t>308714000</t>
  </si>
  <si>
    <t>RE0000086</t>
  </si>
  <si>
    <t>折幅900×15m</t>
    <rPh sb="0" eb="2">
      <t>オリハバ</t>
    </rPh>
    <phoneticPr fontId="2"/>
  </si>
  <si>
    <t>051058000</t>
  </si>
  <si>
    <t>HK5030TCN</t>
  </si>
  <si>
    <t>ﾌﾚｯｼｬｰｼﾘｰｽﾞ</t>
    <phoneticPr fontId="2"/>
  </si>
  <si>
    <t>fh22</t>
    <phoneticPr fontId="2"/>
  </si>
  <si>
    <t>052772000</t>
  </si>
  <si>
    <t>HK2029TEV</t>
    <phoneticPr fontId="2"/>
  </si>
  <si>
    <t>051168000</t>
  </si>
  <si>
    <t>CG-254S2G</t>
    <phoneticPr fontId="2"/>
  </si>
  <si>
    <t>042039000</t>
    <phoneticPr fontId="2"/>
  </si>
  <si>
    <t>AWH-1001GBL</t>
    <phoneticPr fontId="2"/>
  </si>
  <si>
    <t>40A 25F  1000L</t>
    <phoneticPr fontId="2"/>
  </si>
  <si>
    <t>50Hz φ80 2.2kW</t>
    <phoneticPr fontId="2"/>
  </si>
  <si>
    <t>ER-18  11.4L</t>
    <phoneticPr fontId="2"/>
  </si>
  <si>
    <t>131555000</t>
    <phoneticPr fontId="2"/>
  </si>
  <si>
    <t>RE0000087</t>
  </si>
  <si>
    <t>折幅900×20m</t>
    <rPh sb="0" eb="2">
      <t>オリハバ</t>
    </rPh>
    <phoneticPr fontId="2"/>
  </si>
  <si>
    <t>051068000</t>
  </si>
  <si>
    <t>HK5030TEN</t>
  </si>
  <si>
    <t>052773000</t>
  </si>
  <si>
    <t>HK3029TCV</t>
    <phoneticPr fontId="2"/>
  </si>
  <si>
    <t>051169000</t>
  </si>
  <si>
    <t>CG-554TG2</t>
    <phoneticPr fontId="2"/>
  </si>
  <si>
    <t>ｼﾝｸﾛﾋｰﾀ（A重油焚き）</t>
  </si>
  <si>
    <t>SBB-1002HA</t>
    <phoneticPr fontId="2"/>
  </si>
  <si>
    <t>042041000</t>
    <phoneticPr fontId="2"/>
  </si>
  <si>
    <t>AWH-1201GBL</t>
    <phoneticPr fontId="2"/>
  </si>
  <si>
    <t>50Hz φ80 3.7kW</t>
    <phoneticPr fontId="2"/>
  </si>
  <si>
    <t>ER-24  16.3L</t>
    <phoneticPr fontId="2"/>
  </si>
  <si>
    <t>RE0000088</t>
  </si>
  <si>
    <t>折幅900×30m</t>
    <rPh sb="0" eb="2">
      <t>オリハバ</t>
    </rPh>
    <phoneticPr fontId="2"/>
  </si>
  <si>
    <t>051076000</t>
  </si>
  <si>
    <t>HK5030TFN</t>
  </si>
  <si>
    <t>052774000</t>
  </si>
  <si>
    <t>HK3029TEV</t>
    <phoneticPr fontId="2"/>
  </si>
  <si>
    <t>旧型 ｼﾝｸﾛﾋｰﾀ(LPG焚・中圧仕様)</t>
  </si>
  <si>
    <t>SBB-1002HL</t>
    <phoneticPr fontId="2"/>
  </si>
  <si>
    <t>042043000</t>
    <phoneticPr fontId="2"/>
  </si>
  <si>
    <t>AWH-1501GBL</t>
    <phoneticPr fontId="2"/>
  </si>
  <si>
    <t>40A 32F  5500L</t>
    <phoneticPr fontId="2"/>
  </si>
  <si>
    <t>50Hz φ80 5.5kW</t>
    <phoneticPr fontId="2"/>
  </si>
  <si>
    <t xml:space="preserve">ER-35  23.8L </t>
    <phoneticPr fontId="2"/>
  </si>
  <si>
    <t>RE0000089</t>
  </si>
  <si>
    <t>折幅900×40m</t>
    <rPh sb="0" eb="2">
      <t>オリハバ</t>
    </rPh>
    <phoneticPr fontId="2"/>
  </si>
  <si>
    <t>051060000</t>
  </si>
  <si>
    <t>HK6030TCN</t>
  </si>
  <si>
    <t>052775000</t>
  </si>
  <si>
    <t>HK4029TCV</t>
    <phoneticPr fontId="2"/>
  </si>
  <si>
    <t>ｼﾝｸﾛﾋｰﾀ(13A焚・中圧仕様)</t>
  </si>
  <si>
    <t>SBB-1002HN</t>
    <phoneticPr fontId="2"/>
  </si>
  <si>
    <t>042045000</t>
    <phoneticPr fontId="2"/>
  </si>
  <si>
    <t>AWH-1801GBL</t>
    <phoneticPr fontId="2"/>
  </si>
  <si>
    <t>40A 32F  4000L</t>
    <phoneticPr fontId="2"/>
  </si>
  <si>
    <t>50Hz φ80 7.5kW</t>
    <phoneticPr fontId="2"/>
  </si>
  <si>
    <t>ER-50  30.0L</t>
    <phoneticPr fontId="2"/>
  </si>
  <si>
    <t>308796000</t>
  </si>
  <si>
    <t>煙突半直管</t>
    <phoneticPr fontId="2"/>
  </si>
  <si>
    <t>RE0000090</t>
  </si>
  <si>
    <t>折幅900×50m</t>
    <rPh sb="0" eb="2">
      <t>オリハバ</t>
    </rPh>
    <phoneticPr fontId="2"/>
  </si>
  <si>
    <t>051070000</t>
  </si>
  <si>
    <t>HK6030TEN</t>
  </si>
  <si>
    <t>052776000</t>
  </si>
  <si>
    <t>HK4029TEV</t>
    <phoneticPr fontId="2"/>
  </si>
  <si>
    <t>ｼﾝｸﾛﾋｰﾀ（LPG焚・超高効率仕様）</t>
  </si>
  <si>
    <t>SBB-1005HL</t>
    <phoneticPr fontId="2"/>
  </si>
  <si>
    <t>042047000</t>
    <phoneticPr fontId="2"/>
  </si>
  <si>
    <t>AWH-2001GBL</t>
    <phoneticPr fontId="2"/>
  </si>
  <si>
    <t>40A 32F  3500L</t>
    <phoneticPr fontId="2"/>
  </si>
  <si>
    <t>50Hz φ80 11kW</t>
    <phoneticPr fontId="2"/>
  </si>
  <si>
    <t>308802000</t>
  </si>
  <si>
    <t>RE0000091</t>
    <phoneticPr fontId="2"/>
  </si>
  <si>
    <t>折幅900×100m</t>
    <rPh sb="0" eb="2">
      <t>オリハバ</t>
    </rPh>
    <phoneticPr fontId="2"/>
  </si>
  <si>
    <t xml:space="preserve">ﾀﾞｸﾄﾍﾞﾝﾄﾞ(SUS)  </t>
  </si>
  <si>
    <t>051078000</t>
  </si>
  <si>
    <t>HK6030TFN</t>
  </si>
  <si>
    <t>052777000</t>
  </si>
  <si>
    <t>HK5029TCV</t>
    <phoneticPr fontId="2"/>
  </si>
  <si>
    <t>40A 32F  3000L</t>
    <phoneticPr fontId="2"/>
  </si>
  <si>
    <t>JTX-80   50L</t>
    <phoneticPr fontId="2"/>
  </si>
  <si>
    <t>313348000</t>
  </si>
  <si>
    <t>RE0000098</t>
  </si>
  <si>
    <t>折幅1100×15m</t>
    <rPh sb="0" eb="2">
      <t>オリハバ</t>
    </rPh>
    <phoneticPr fontId="2"/>
  </si>
  <si>
    <t>【変更履歴】</t>
    <rPh sb="1" eb="3">
      <t>ヘンコウ</t>
    </rPh>
    <rPh sb="3" eb="5">
      <t>リレキ</t>
    </rPh>
    <phoneticPr fontId="2"/>
  </si>
  <si>
    <t>052778000</t>
  </si>
  <si>
    <t>HK5029TEV</t>
    <phoneticPr fontId="2"/>
  </si>
  <si>
    <t>ｼﾝｸﾛﾋｰﾀ(高温水仕様)</t>
    <rPh sb="8" eb="11">
      <t>コウオンスイ</t>
    </rPh>
    <rPh sb="11" eb="13">
      <t>シヨウ</t>
    </rPh>
    <phoneticPr fontId="2"/>
  </si>
  <si>
    <t>SB-306MＨ□Ｈ(油焚)</t>
    <phoneticPr fontId="2"/>
  </si>
  <si>
    <t>042028000</t>
    <phoneticPr fontId="2"/>
  </si>
  <si>
    <t>AWH-501GBN</t>
    <phoneticPr fontId="2"/>
  </si>
  <si>
    <t>40A 32F  2750L</t>
    <phoneticPr fontId="2"/>
  </si>
  <si>
    <t>60Hz φ25 0.15kW</t>
    <phoneticPr fontId="2"/>
  </si>
  <si>
    <t>JTX-100  63L</t>
    <phoneticPr fontId="2"/>
  </si>
  <si>
    <t>322370000</t>
  </si>
  <si>
    <t>RE0000099</t>
  </si>
  <si>
    <t>折幅1100×20m</t>
    <rPh sb="0" eb="2">
      <t>オリハバ</t>
    </rPh>
    <phoneticPr fontId="2"/>
  </si>
  <si>
    <t>　</t>
    <phoneticPr fontId="2"/>
  </si>
  <si>
    <t>’10.12訂正箇所　製品値上分</t>
    <rPh sb="6" eb="8">
      <t>テイセイ</t>
    </rPh>
    <rPh sb="8" eb="10">
      <t>カショ</t>
    </rPh>
    <rPh sb="11" eb="13">
      <t>セイヒン</t>
    </rPh>
    <rPh sb="13" eb="15">
      <t>ネア</t>
    </rPh>
    <rPh sb="15" eb="16">
      <t>ブン</t>
    </rPh>
    <phoneticPr fontId="2"/>
  </si>
  <si>
    <t>052779000</t>
  </si>
  <si>
    <t>HK5029TFV</t>
    <phoneticPr fontId="2"/>
  </si>
  <si>
    <t>SB-406MＨ□Ｈ(油焚)</t>
    <phoneticPr fontId="2"/>
  </si>
  <si>
    <t>042030000</t>
    <phoneticPr fontId="2"/>
  </si>
  <si>
    <t>AWH-601GBN</t>
    <phoneticPr fontId="2"/>
  </si>
  <si>
    <t>40A 32F  2000L</t>
    <phoneticPr fontId="2"/>
  </si>
  <si>
    <t>JTX-150  95L</t>
    <phoneticPr fontId="2"/>
  </si>
  <si>
    <t>RE0000100</t>
  </si>
  <si>
    <t>折幅1100×30m</t>
    <rPh sb="0" eb="2">
      <t>オリハバ</t>
    </rPh>
    <phoneticPr fontId="2"/>
  </si>
  <si>
    <t>’10.11訂正箇所　部品値上分</t>
    <rPh sb="6" eb="8">
      <t>テイセイ</t>
    </rPh>
    <rPh sb="8" eb="10">
      <t>カショ</t>
    </rPh>
    <rPh sb="11" eb="13">
      <t>ブヒン</t>
    </rPh>
    <rPh sb="13" eb="15">
      <t>ネア</t>
    </rPh>
    <rPh sb="15" eb="16">
      <t>ブン</t>
    </rPh>
    <phoneticPr fontId="2"/>
  </si>
  <si>
    <t>052780000</t>
  </si>
  <si>
    <t>HK6029TCV</t>
    <phoneticPr fontId="2"/>
  </si>
  <si>
    <t>SB-506MＨ□Ｈ(油焚)</t>
    <phoneticPr fontId="2"/>
  </si>
  <si>
    <t>042032000</t>
    <phoneticPr fontId="2"/>
  </si>
  <si>
    <t>AWH-701GBN</t>
    <phoneticPr fontId="2"/>
  </si>
  <si>
    <t>40A 32F  1500L</t>
    <phoneticPr fontId="2"/>
  </si>
  <si>
    <t>60Hz φ32 0.25kW</t>
    <phoneticPr fontId="2"/>
  </si>
  <si>
    <t>JTX-200  120L</t>
    <phoneticPr fontId="2"/>
  </si>
  <si>
    <t>308799000</t>
  </si>
  <si>
    <t xml:space="preserve">煙突ｴﾋﾞﾏｶﾞﾘ </t>
  </si>
  <si>
    <t>RE0000101</t>
  </si>
  <si>
    <t>折幅1100×40m</t>
    <rPh sb="0" eb="2">
      <t>オリハバ</t>
    </rPh>
    <phoneticPr fontId="2"/>
  </si>
  <si>
    <t>’11.05訂正箇所　値上・原価訂正</t>
    <rPh sb="6" eb="8">
      <t>テイセイ</t>
    </rPh>
    <rPh sb="8" eb="10">
      <t>カショ</t>
    </rPh>
    <rPh sb="11" eb="13">
      <t>ネア</t>
    </rPh>
    <rPh sb="14" eb="16">
      <t>ゲンカ</t>
    </rPh>
    <rPh sb="16" eb="18">
      <t>テイセイ</t>
    </rPh>
    <phoneticPr fontId="2"/>
  </si>
  <si>
    <t>052781000</t>
  </si>
  <si>
    <t>HK6029TEV</t>
    <phoneticPr fontId="2"/>
  </si>
  <si>
    <t>042034000</t>
    <phoneticPr fontId="2"/>
  </si>
  <si>
    <t>AWH-801GBN</t>
    <phoneticPr fontId="2"/>
  </si>
  <si>
    <t>40A 32F  1000L</t>
    <phoneticPr fontId="2"/>
  </si>
  <si>
    <t>60Hz φ32 0.4kW</t>
    <phoneticPr fontId="2"/>
  </si>
  <si>
    <t>JTX-300  190L</t>
    <phoneticPr fontId="2"/>
  </si>
  <si>
    <t>131776000</t>
  </si>
  <si>
    <t>RE0000102</t>
  </si>
  <si>
    <t>折幅1100×50m</t>
    <rPh sb="0" eb="2">
      <t>オリハバ</t>
    </rPh>
    <phoneticPr fontId="2"/>
  </si>
  <si>
    <t>’14.08　価格・構成見直しにつき、再構成</t>
    <rPh sb="7" eb="9">
      <t>カカク</t>
    </rPh>
    <rPh sb="10" eb="12">
      <t>コウセイ</t>
    </rPh>
    <rPh sb="12" eb="14">
      <t>ミナオ</t>
    </rPh>
    <rPh sb="19" eb="22">
      <t>サイコウセイ</t>
    </rPh>
    <phoneticPr fontId="2"/>
  </si>
  <si>
    <t>052782000</t>
  </si>
  <si>
    <t>HK6029TFV</t>
    <phoneticPr fontId="2"/>
  </si>
  <si>
    <t>SB-306MＨ□Ｈ(ｶﾞｽ焚)</t>
    <phoneticPr fontId="2"/>
  </si>
  <si>
    <t>042036000</t>
    <phoneticPr fontId="2"/>
  </si>
  <si>
    <t>AWH-901GBN</t>
    <phoneticPr fontId="2"/>
  </si>
  <si>
    <t>60Hz φ32 0.75kW</t>
    <phoneticPr fontId="2"/>
  </si>
  <si>
    <t>313349000</t>
  </si>
  <si>
    <t xml:space="preserve">煙道ｴﾙﾎﾞ    </t>
  </si>
  <si>
    <t>RE0000103</t>
  </si>
  <si>
    <t>折幅1100×100m</t>
    <rPh sb="0" eb="2">
      <t>オリハバ</t>
    </rPh>
    <phoneticPr fontId="2"/>
  </si>
  <si>
    <t>69期農用機器･熱機器･KHV･ｻｰﾋﾞｽ部品価格表対応</t>
    <rPh sb="0" eb="1">
      <t>キ</t>
    </rPh>
    <rPh sb="1" eb="3">
      <t>ノウヨウ</t>
    </rPh>
    <rPh sb="3" eb="5">
      <t>キキ</t>
    </rPh>
    <rPh sb="7" eb="8">
      <t>ネツ</t>
    </rPh>
    <rPh sb="8" eb="10">
      <t>キキ</t>
    </rPh>
    <rPh sb="19" eb="21">
      <t>ブヒン</t>
    </rPh>
    <rPh sb="21" eb="23">
      <t>カカク</t>
    </rPh>
    <rPh sb="23" eb="24">
      <t>ヒョウ</t>
    </rPh>
    <rPh sb="24" eb="26">
      <t>タイオウ</t>
    </rPh>
    <phoneticPr fontId="2"/>
  </si>
  <si>
    <t>SB-406MＨ□Ｈ(ｶﾞｽ焚)</t>
    <phoneticPr fontId="2"/>
  </si>
  <si>
    <t>042038000</t>
    <phoneticPr fontId="2"/>
  </si>
  <si>
    <t>AWH-1001GBN</t>
  </si>
  <si>
    <t>50A 25F  5500L</t>
    <phoneticPr fontId="2"/>
  </si>
  <si>
    <t>60Hz φ32 1.5kW</t>
    <phoneticPr fontId="2"/>
  </si>
  <si>
    <t>AFX-200ＮＸ</t>
  </si>
  <si>
    <t>131637000</t>
  </si>
  <si>
    <t>70期価格修正</t>
    <rPh sb="2" eb="3">
      <t>キ</t>
    </rPh>
    <rPh sb="3" eb="5">
      <t>カカク</t>
    </rPh>
    <rPh sb="5" eb="7">
      <t>シュウセイ</t>
    </rPh>
    <phoneticPr fontId="2"/>
  </si>
  <si>
    <t>SB-506MＨ□Ｈ(ｶﾞｽ焚)</t>
    <phoneticPr fontId="2"/>
  </si>
  <si>
    <t>042040000</t>
    <phoneticPr fontId="2"/>
  </si>
  <si>
    <t>AWH-1201GBN</t>
  </si>
  <si>
    <t>50A 25F  4000L</t>
    <phoneticPr fontId="2"/>
  </si>
  <si>
    <t>AFX-300ＮＸ</t>
  </si>
  <si>
    <t>131775000</t>
    <phoneticPr fontId="2"/>
  </si>
  <si>
    <t>RE0000104</t>
  </si>
  <si>
    <t xml:space="preserve">ｺｰﾅｰﾀﾞｸﾄ  </t>
    <phoneticPr fontId="2"/>
  </si>
  <si>
    <t>L-63</t>
    <phoneticPr fontId="2"/>
  </si>
  <si>
    <t>71期価格修正</t>
    <rPh sb="2" eb="3">
      <t>キ</t>
    </rPh>
    <rPh sb="3" eb="5">
      <t>カカク</t>
    </rPh>
    <rPh sb="5" eb="7">
      <t>シュウセイ</t>
    </rPh>
    <phoneticPr fontId="2"/>
  </si>
  <si>
    <t>042042000</t>
    <phoneticPr fontId="2"/>
  </si>
  <si>
    <t>AWH-1501GBN</t>
  </si>
  <si>
    <t>50A 25F  3500L</t>
    <phoneticPr fontId="2"/>
  </si>
  <si>
    <t>60Hz φ40 0.4kW</t>
    <phoneticPr fontId="2"/>
  </si>
  <si>
    <t>AFX-400ＮＸ</t>
  </si>
  <si>
    <t>RE0000105</t>
  </si>
  <si>
    <t xml:space="preserve">ｺｰﾅｰﾀﾞｸﾄ  </t>
  </si>
  <si>
    <t>L-90</t>
    <phoneticPr fontId="2"/>
  </si>
  <si>
    <t>19.02断熱マット追加</t>
    <rPh sb="5" eb="7">
      <t>ダンネツ</t>
    </rPh>
    <rPh sb="10" eb="12">
      <t>ツイカ</t>
    </rPh>
    <phoneticPr fontId="2"/>
  </si>
  <si>
    <t>SBR-106MH□Ｈ(油焚)</t>
    <phoneticPr fontId="2"/>
  </si>
  <si>
    <t>042044000</t>
    <phoneticPr fontId="2"/>
  </si>
  <si>
    <t>AWH-1801GBN</t>
  </si>
  <si>
    <t>50A 25F  3000L</t>
    <phoneticPr fontId="2"/>
  </si>
  <si>
    <t>60Hz φ40 0.75kW</t>
    <phoneticPr fontId="2"/>
  </si>
  <si>
    <t>AFX-500ＮＸ</t>
  </si>
  <si>
    <t>RE0000106</t>
  </si>
  <si>
    <t>L-110</t>
    <phoneticPr fontId="2"/>
  </si>
  <si>
    <t xml:space="preserve">ﾀﾞｸﾄﾁｰｽﾞ(亜鉛)  </t>
  </si>
  <si>
    <t>72期価格修正</t>
    <phoneticPr fontId="2"/>
  </si>
  <si>
    <t>SBR-136MH□Ｈ(油焚)</t>
    <phoneticPr fontId="2"/>
  </si>
  <si>
    <t>042046000</t>
    <phoneticPr fontId="2"/>
  </si>
  <si>
    <t>AWH-2001GBN</t>
  </si>
  <si>
    <t>50A 25F  2750L</t>
    <phoneticPr fontId="2"/>
  </si>
  <si>
    <t>60Hz φ40 1.5kW</t>
    <phoneticPr fontId="2"/>
  </si>
  <si>
    <t>AFX-600ＮＸ</t>
  </si>
  <si>
    <t>329799000</t>
  </si>
  <si>
    <t>煙突H型</t>
    <phoneticPr fontId="2"/>
  </si>
  <si>
    <t>RE0000107</t>
  </si>
  <si>
    <t>T-63</t>
    <phoneticPr fontId="2"/>
  </si>
  <si>
    <t>73期価格修正</t>
    <phoneticPr fontId="2"/>
  </si>
  <si>
    <t>SBR-166MH□Ｈ(油焚)</t>
    <phoneticPr fontId="2"/>
  </si>
  <si>
    <t>50A 25F  2000L</t>
    <phoneticPr fontId="2"/>
  </si>
  <si>
    <t>60Hz φ40 2.2kW</t>
    <phoneticPr fontId="2"/>
  </si>
  <si>
    <t>AFX-800ＮＸ</t>
  </si>
  <si>
    <t>308409000</t>
  </si>
  <si>
    <t>煙突H型</t>
    <rPh sb="0" eb="2">
      <t>エントツ</t>
    </rPh>
    <rPh sb="3" eb="4">
      <t>ガタ</t>
    </rPh>
    <phoneticPr fontId="2"/>
  </si>
  <si>
    <t>RE0000108</t>
  </si>
  <si>
    <t>T-90</t>
    <phoneticPr fontId="2"/>
  </si>
  <si>
    <t>74期価格修正</t>
  </si>
  <si>
    <t>SBR-206MH□Ｈ(油焚)</t>
    <phoneticPr fontId="2"/>
  </si>
  <si>
    <t>50A 25F  1500L</t>
    <phoneticPr fontId="2"/>
  </si>
  <si>
    <t>60Hz φ40 3.7kW</t>
    <phoneticPr fontId="2"/>
  </si>
  <si>
    <t>AFX-1000ＮＸ</t>
  </si>
  <si>
    <t>308411000</t>
  </si>
  <si>
    <t>RE0000109</t>
  </si>
  <si>
    <t>T-110</t>
    <phoneticPr fontId="2"/>
  </si>
  <si>
    <t>75期価格修正</t>
    <rPh sb="2" eb="3">
      <t>キ</t>
    </rPh>
    <rPh sb="3" eb="5">
      <t>カカク</t>
    </rPh>
    <rPh sb="5" eb="7">
      <t>シュウセイ</t>
    </rPh>
    <phoneticPr fontId="2"/>
  </si>
  <si>
    <t>SBR-256MH□Ｈ(油焚)</t>
    <phoneticPr fontId="2"/>
  </si>
  <si>
    <t>50A 25F  1000L</t>
    <phoneticPr fontId="2"/>
  </si>
  <si>
    <t>AFX-1200ＮＸ</t>
  </si>
  <si>
    <t>Pﾄｯﾌﾟ</t>
    <phoneticPr fontId="2"/>
  </si>
  <si>
    <t>76期価格修正</t>
    <rPh sb="2" eb="3">
      <t>キ</t>
    </rPh>
    <rPh sb="3" eb="5">
      <t>カカク</t>
    </rPh>
    <rPh sb="5" eb="7">
      <t>シュウセイ</t>
    </rPh>
    <phoneticPr fontId="2"/>
  </si>
  <si>
    <t>60Hz φ50 0.75kW</t>
    <phoneticPr fontId="2"/>
  </si>
  <si>
    <t>AFX-1400ＮＸ</t>
    <phoneticPr fontId="2"/>
  </si>
  <si>
    <t>104027000</t>
  </si>
  <si>
    <t xml:space="preserve">ﾀﾞｸﾄｺﾈｸﾀｰ </t>
  </si>
  <si>
    <t>DC-191</t>
    <phoneticPr fontId="2"/>
  </si>
  <si>
    <t>ｾｯﾄ</t>
  </si>
  <si>
    <t>77期価格修正</t>
    <rPh sb="2" eb="3">
      <t>キ</t>
    </rPh>
    <rPh sb="3" eb="5">
      <t>カカク</t>
    </rPh>
    <rPh sb="5" eb="7">
      <t>シュウセイ</t>
    </rPh>
    <phoneticPr fontId="2"/>
  </si>
  <si>
    <t>SBR-106MH□Ｈ(ｶﾞｽ焚)</t>
    <phoneticPr fontId="2"/>
  </si>
  <si>
    <t>50A 32F  5500L</t>
    <phoneticPr fontId="2"/>
  </si>
  <si>
    <t>60Hz φ50 1.5kW</t>
    <phoneticPr fontId="2"/>
  </si>
  <si>
    <t>104028000</t>
  </si>
  <si>
    <t>DC-251</t>
    <phoneticPr fontId="2"/>
  </si>
  <si>
    <t>78期価格修正</t>
    <rPh sb="2" eb="3">
      <t>キ</t>
    </rPh>
    <rPh sb="3" eb="5">
      <t>カカク</t>
    </rPh>
    <rPh sb="5" eb="7">
      <t>シュウセイ</t>
    </rPh>
    <phoneticPr fontId="2"/>
  </si>
  <si>
    <t>SBR-136MH□Ｈ(ｶﾞｽ焚)</t>
    <phoneticPr fontId="2"/>
  </si>
  <si>
    <t>50A 32F  4000L</t>
    <phoneticPr fontId="2"/>
  </si>
  <si>
    <t>60Hz φ50 2.2kW</t>
    <phoneticPr fontId="2"/>
  </si>
  <si>
    <t>ST-8　3.0L</t>
    <phoneticPr fontId="23"/>
  </si>
  <si>
    <t>202598000</t>
    <phoneticPr fontId="2"/>
  </si>
  <si>
    <t>煙道延長ｾｯﾄ</t>
  </si>
  <si>
    <t>BEA-H-900</t>
    <phoneticPr fontId="2"/>
  </si>
  <si>
    <t>104029000</t>
  </si>
  <si>
    <t>DC-301</t>
    <phoneticPr fontId="2"/>
  </si>
  <si>
    <t xml:space="preserve">ﾀﾞｸﾄﾁｰｽﾞ(SUS)   </t>
  </si>
  <si>
    <t>79期価格修正</t>
    <rPh sb="2" eb="3">
      <t>キ</t>
    </rPh>
    <rPh sb="3" eb="5">
      <t>カカク</t>
    </rPh>
    <rPh sb="5" eb="7">
      <t>シュウセイ</t>
    </rPh>
    <phoneticPr fontId="2"/>
  </si>
  <si>
    <t>SBR-166MH□Ｈ(ｶﾞｽ焚)</t>
    <phoneticPr fontId="2"/>
  </si>
  <si>
    <t>50A 32F  3500L</t>
    <phoneticPr fontId="2"/>
  </si>
  <si>
    <t>60Hz φ50 3.7kW</t>
    <phoneticPr fontId="2"/>
  </si>
  <si>
    <t>ST-17　8.2L</t>
    <phoneticPr fontId="23"/>
  </si>
  <si>
    <t>202600000</t>
  </si>
  <si>
    <t>BEA-BF-900</t>
    <phoneticPr fontId="2"/>
  </si>
  <si>
    <t>104030000</t>
  </si>
  <si>
    <t>DC-351</t>
    <phoneticPr fontId="2"/>
  </si>
  <si>
    <t>SBR-206MH□Ｈ(ｶﾞｽ焚)</t>
    <phoneticPr fontId="2"/>
  </si>
  <si>
    <t>50A 32F  3000L</t>
    <phoneticPr fontId="2"/>
  </si>
  <si>
    <t>60Hz φ50 5.5kW</t>
    <phoneticPr fontId="2"/>
  </si>
  <si>
    <t>ST-28　10.9L</t>
    <phoneticPr fontId="23"/>
  </si>
  <si>
    <t>202602000</t>
    <phoneticPr fontId="2"/>
  </si>
  <si>
    <t>BEA-DA-900</t>
    <phoneticPr fontId="2"/>
  </si>
  <si>
    <t>104032000</t>
  </si>
  <si>
    <t>DC-401</t>
    <phoneticPr fontId="2"/>
  </si>
  <si>
    <t>SBR-256MH□Ｈ(ｶﾞｽ焚)</t>
    <phoneticPr fontId="2"/>
  </si>
  <si>
    <t>50A 32F  2750L</t>
    <phoneticPr fontId="2"/>
  </si>
  <si>
    <t>ST-39V　23.0L</t>
    <phoneticPr fontId="23"/>
  </si>
  <si>
    <t>105442000</t>
  </si>
  <si>
    <t>煙突断熱材ｾｯﾄ</t>
    <rPh sb="0" eb="2">
      <t>エントツ</t>
    </rPh>
    <rPh sb="2" eb="5">
      <t>ダンネツザイ</t>
    </rPh>
    <phoneticPr fontId="2"/>
  </si>
  <si>
    <t>BED-1501</t>
    <phoneticPr fontId="2"/>
  </si>
  <si>
    <t>50A 32F  2000L</t>
    <phoneticPr fontId="2"/>
  </si>
  <si>
    <t>60Hz φ65 1.5kW</t>
    <phoneticPr fontId="2"/>
  </si>
  <si>
    <t>ST-55V　32.0L</t>
    <phoneticPr fontId="23"/>
  </si>
  <si>
    <t>105443000</t>
  </si>
  <si>
    <t>BED-2251</t>
    <phoneticPr fontId="2"/>
  </si>
  <si>
    <t>RE0000235</t>
    <phoneticPr fontId="2"/>
  </si>
  <si>
    <t>ｸｻﾋﾞｯｸ</t>
    <phoneticPr fontId="2"/>
  </si>
  <si>
    <t>（200ヶ入り）</t>
    <phoneticPr fontId="2"/>
  </si>
  <si>
    <t>50A 32F  1500L</t>
    <phoneticPr fontId="2"/>
  </si>
  <si>
    <t>60Hz φ65 2.2kW</t>
    <phoneticPr fontId="2"/>
  </si>
  <si>
    <t>ST-76V  39.0L</t>
    <phoneticPr fontId="23"/>
  </si>
  <si>
    <t>100789000</t>
  </si>
  <si>
    <t>煙突消音器ｾｯﾄ</t>
    <phoneticPr fontId="2"/>
  </si>
  <si>
    <t>BEM-1500</t>
    <phoneticPr fontId="2"/>
  </si>
  <si>
    <t>50A 32F  1000L</t>
    <phoneticPr fontId="2"/>
  </si>
  <si>
    <t>60Hz φ65 3.7kW</t>
    <phoneticPr fontId="2"/>
  </si>
  <si>
    <t>ST-116V  39.0L</t>
    <phoneticPr fontId="23"/>
  </si>
  <si>
    <t>100806000</t>
  </si>
  <si>
    <t>BEM-2250</t>
    <phoneticPr fontId="2"/>
  </si>
  <si>
    <t>101645000</t>
  </si>
  <si>
    <t>吹出口ｴﾙﾎﾞ</t>
  </si>
  <si>
    <t>BDE-KA220</t>
    <phoneticPr fontId="2"/>
  </si>
  <si>
    <t>60Hz φ65 5.5kW</t>
    <phoneticPr fontId="2"/>
  </si>
  <si>
    <t>ST-167V  116.0L</t>
    <phoneticPr fontId="23"/>
  </si>
  <si>
    <t>036660000</t>
  </si>
  <si>
    <t>断熱ﾏｯﾄ(2枚1組)</t>
  </si>
  <si>
    <t>t25×605×910</t>
  </si>
  <si>
    <t>組</t>
  </si>
  <si>
    <t>101646000</t>
  </si>
  <si>
    <t>BDE-KA300</t>
    <phoneticPr fontId="2"/>
  </si>
  <si>
    <t>65A 25F  5500L</t>
  </si>
  <si>
    <t>60Hz φ65 7.5kW</t>
    <phoneticPr fontId="2"/>
  </si>
  <si>
    <t>ST-235V  116.0L</t>
    <phoneticPr fontId="23"/>
  </si>
  <si>
    <t>007033000</t>
    <phoneticPr fontId="2"/>
  </si>
  <si>
    <t>掃除具ｾｯﾄ</t>
    <rPh sb="0" eb="2">
      <t>ソウジ</t>
    </rPh>
    <rPh sb="2" eb="3">
      <t>グ</t>
    </rPh>
    <phoneticPr fontId="2"/>
  </si>
  <si>
    <t>ＢＨＳ５００　５０Ａ</t>
    <phoneticPr fontId="2"/>
  </si>
  <si>
    <t>65A 25F  4000L</t>
  </si>
  <si>
    <t>ST-326V  162.0L</t>
    <phoneticPr fontId="23"/>
  </si>
  <si>
    <t>007060000</t>
    <phoneticPr fontId="2"/>
  </si>
  <si>
    <t>ＢＨＳ６５０　６５Ａ</t>
    <phoneticPr fontId="2"/>
  </si>
  <si>
    <t>65A 25F  3500L</t>
  </si>
  <si>
    <t>60Hz φ80 2.2kW</t>
    <phoneticPr fontId="2"/>
  </si>
  <si>
    <t>65A 25F  3000L</t>
  </si>
  <si>
    <t>60Hz φ80 3.7kW</t>
    <phoneticPr fontId="2"/>
  </si>
  <si>
    <t>AST-9V  2.9L</t>
    <phoneticPr fontId="23"/>
  </si>
  <si>
    <t>65A 25F  2750L</t>
  </si>
  <si>
    <t>60Hz φ80 5.5kW</t>
    <phoneticPr fontId="2"/>
  </si>
  <si>
    <t>AST-18V  7.7L</t>
    <phoneticPr fontId="23"/>
  </si>
  <si>
    <t>65A 25F  2000L</t>
  </si>
  <si>
    <t>60Hz φ80 7.5kW</t>
    <phoneticPr fontId="2"/>
  </si>
  <si>
    <t>AST-29V  7.7L</t>
    <phoneticPr fontId="23"/>
  </si>
  <si>
    <t>65A 25F  1500L</t>
  </si>
  <si>
    <t>60Hz φ80 11kW</t>
    <phoneticPr fontId="2"/>
  </si>
  <si>
    <t>AST-45V  33.0L</t>
    <phoneticPr fontId="23"/>
  </si>
  <si>
    <t>65A 25F  1000L</t>
  </si>
  <si>
    <t>AST-70V  33.0L</t>
    <phoneticPr fontId="23"/>
  </si>
  <si>
    <t>50Hz φ125 7.5kW低揚程</t>
    <phoneticPr fontId="2"/>
  </si>
  <si>
    <t>AST-100V  33.0L</t>
    <phoneticPr fontId="23"/>
  </si>
  <si>
    <t>65A 32F  5500L</t>
    <phoneticPr fontId="2"/>
  </si>
  <si>
    <t>50Hz φ125 7.5kW高揚程</t>
    <rPh sb="15" eb="16">
      <t>タカ</t>
    </rPh>
    <rPh sb="16" eb="17">
      <t>ヨウ</t>
    </rPh>
    <rPh sb="17" eb="18">
      <t>テイ</t>
    </rPh>
    <phoneticPr fontId="2"/>
  </si>
  <si>
    <t>AST-130V  66.0L</t>
    <phoneticPr fontId="23"/>
  </si>
  <si>
    <t>65A 32F  4000L</t>
    <phoneticPr fontId="2"/>
  </si>
  <si>
    <t>50Hz φ125 11kW</t>
    <phoneticPr fontId="2"/>
  </si>
  <si>
    <t>AST-175V  66.0L</t>
    <phoneticPr fontId="23"/>
  </si>
  <si>
    <t>65A 32F  3500L</t>
    <phoneticPr fontId="2"/>
  </si>
  <si>
    <t>50Hz φ125 15kW</t>
    <phoneticPr fontId="2"/>
  </si>
  <si>
    <t>AST-215V  109.0L</t>
    <phoneticPr fontId="23"/>
  </si>
  <si>
    <t>65A 32F  3000L</t>
    <phoneticPr fontId="2"/>
  </si>
  <si>
    <t>50Hz φ125 18kW</t>
    <phoneticPr fontId="2"/>
  </si>
  <si>
    <t>AST-260V  109.0L</t>
    <phoneticPr fontId="23"/>
  </si>
  <si>
    <t>65A 32F  2750L</t>
    <phoneticPr fontId="2"/>
  </si>
  <si>
    <t>50Hz φ125 22kW</t>
    <phoneticPr fontId="2"/>
  </si>
  <si>
    <t>65A 32F  2000L</t>
    <phoneticPr fontId="2"/>
  </si>
  <si>
    <t>50Hz φ125 30kW</t>
    <phoneticPr fontId="2"/>
  </si>
  <si>
    <t>EX-200V  160.0L</t>
    <phoneticPr fontId="23"/>
  </si>
  <si>
    <t>65A 32F  1500L</t>
    <phoneticPr fontId="2"/>
  </si>
  <si>
    <t>EX-300V　240.0L</t>
    <phoneticPr fontId="23"/>
  </si>
  <si>
    <t>65A 32F  1000L</t>
    <phoneticPr fontId="2"/>
  </si>
  <si>
    <t>50Hz φ150 15kW低揚程</t>
    <phoneticPr fontId="2"/>
  </si>
  <si>
    <t>EX-400V　320.0L</t>
    <phoneticPr fontId="23"/>
  </si>
  <si>
    <t>50Hz φ150 15kW高揚程</t>
    <rPh sb="14" eb="15">
      <t>タカ</t>
    </rPh>
    <phoneticPr fontId="2"/>
  </si>
  <si>
    <t>EX-500V　400.0L</t>
    <phoneticPr fontId="23"/>
  </si>
  <si>
    <t>50Hz φ150 18kW</t>
    <phoneticPr fontId="2"/>
  </si>
  <si>
    <t>EX-600V　480.0L</t>
    <phoneticPr fontId="23"/>
  </si>
  <si>
    <t>50Hz φ150 22kW</t>
    <phoneticPr fontId="2"/>
  </si>
  <si>
    <t>EX-800V　640.0L</t>
    <phoneticPr fontId="23"/>
  </si>
  <si>
    <t>50Hz φ150 30kW</t>
    <phoneticPr fontId="2"/>
  </si>
  <si>
    <t>EX-1000V　800.0L</t>
    <phoneticPr fontId="23"/>
  </si>
  <si>
    <t>50Hz φ150 37kW</t>
    <phoneticPr fontId="2"/>
  </si>
  <si>
    <t>EX-1200V　960.0L</t>
    <phoneticPr fontId="23"/>
  </si>
  <si>
    <t>50Hz φ150 45kW</t>
    <phoneticPr fontId="2"/>
  </si>
  <si>
    <t>EX-1400V　1120.0L</t>
    <phoneticPr fontId="23"/>
  </si>
  <si>
    <t>50Hz φ150 55kW</t>
    <phoneticPr fontId="2"/>
  </si>
  <si>
    <t>EX-1600V  1280.0L</t>
    <phoneticPr fontId="23"/>
  </si>
  <si>
    <t>50Hz φ150 75kW</t>
    <phoneticPr fontId="2"/>
  </si>
  <si>
    <t>EX-2000V  1600.0L</t>
    <phoneticPr fontId="23"/>
  </si>
  <si>
    <t>EX-3000V  2400.0L</t>
    <phoneticPr fontId="23"/>
  </si>
  <si>
    <t>50Hz φ200 22kW</t>
    <phoneticPr fontId="2"/>
  </si>
  <si>
    <t>EX-4000V  3200.0L</t>
    <phoneticPr fontId="23"/>
  </si>
  <si>
    <t>50Hz φ200 30kW</t>
    <phoneticPr fontId="2"/>
  </si>
  <si>
    <t>EX-5000V  4000.0L</t>
    <phoneticPr fontId="23"/>
  </si>
  <si>
    <t>50Hz φ200 37kW</t>
    <phoneticPr fontId="2"/>
  </si>
  <si>
    <t>50Hz φ200 45kW</t>
    <phoneticPr fontId="2"/>
  </si>
  <si>
    <t>50Hz φ200 55kW</t>
    <phoneticPr fontId="2"/>
  </si>
  <si>
    <t>50Hz φ200 75kW</t>
    <phoneticPr fontId="2"/>
  </si>
  <si>
    <t>50Hz φ200 90kW</t>
    <phoneticPr fontId="2"/>
  </si>
  <si>
    <t>60Hz φ125 7.5kW</t>
    <phoneticPr fontId="2"/>
  </si>
  <si>
    <t>60Hz φ125 11kW低揚程</t>
    <rPh sb="14" eb="15">
      <t>ヒク</t>
    </rPh>
    <rPh sb="15" eb="16">
      <t>ヨウ</t>
    </rPh>
    <rPh sb="16" eb="17">
      <t>テイ</t>
    </rPh>
    <phoneticPr fontId="2"/>
  </si>
  <si>
    <t>60Hz φ125 11kW高揚程</t>
    <phoneticPr fontId="2"/>
  </si>
  <si>
    <t>60Hz φ125 15kW</t>
    <phoneticPr fontId="2"/>
  </si>
  <si>
    <t>60Hz φ125 18kW低揚程</t>
    <rPh sb="14" eb="15">
      <t>ヒク</t>
    </rPh>
    <phoneticPr fontId="2"/>
  </si>
  <si>
    <t>60Hz φ125 18kW高揚程</t>
    <phoneticPr fontId="2"/>
  </si>
  <si>
    <t>60Hz φ125 22kW</t>
    <phoneticPr fontId="2"/>
  </si>
  <si>
    <t>60Hz φ125 30kW</t>
    <phoneticPr fontId="2"/>
  </si>
  <si>
    <t>60Hz φ125 37kW</t>
    <phoneticPr fontId="2"/>
  </si>
  <si>
    <t>60Hz φ125 45kW</t>
    <phoneticPr fontId="2"/>
  </si>
  <si>
    <t>RCUP75A2(3HP)</t>
  </si>
  <si>
    <t>60Hz φ125 55kW</t>
    <phoneticPr fontId="2"/>
  </si>
  <si>
    <t>RCUP125A2(5HP)</t>
  </si>
  <si>
    <t>RCUP190A2(7.5HP)</t>
  </si>
  <si>
    <t>60Hz φ150 15kW</t>
    <phoneticPr fontId="2"/>
  </si>
  <si>
    <t>RCUP250A2(10HP)</t>
  </si>
  <si>
    <t>60Hz φ150 18kW</t>
    <phoneticPr fontId="2"/>
  </si>
  <si>
    <t>RCUP375A2(15HP)</t>
  </si>
  <si>
    <t>60Hz φ150 22kW</t>
    <phoneticPr fontId="2"/>
  </si>
  <si>
    <t>RCUP500A2(20HP)</t>
  </si>
  <si>
    <t>AWH- 501A</t>
    <phoneticPr fontId="2"/>
  </si>
  <si>
    <t>60Hz φ150 30kW</t>
    <phoneticPr fontId="2"/>
  </si>
  <si>
    <t>RCUP750A2(30HP)</t>
  </si>
  <si>
    <t>AWH- 601A</t>
    <phoneticPr fontId="2"/>
  </si>
  <si>
    <t>60Hz φ150 37kW</t>
    <phoneticPr fontId="2"/>
  </si>
  <si>
    <t>AWH- 701A</t>
    <phoneticPr fontId="2"/>
  </si>
  <si>
    <t>60Hz φ150 45kW</t>
    <phoneticPr fontId="2"/>
  </si>
  <si>
    <t>グリーンパッケージ</t>
  </si>
  <si>
    <t>NGP102H</t>
  </si>
  <si>
    <t>RHUP75A2(3HP)</t>
  </si>
  <si>
    <t>AWH- 801A</t>
    <phoneticPr fontId="2"/>
  </si>
  <si>
    <t>60Hz φ150 55kW低揚程</t>
    <phoneticPr fontId="2"/>
  </si>
  <si>
    <t>---------</t>
  </si>
  <si>
    <t>-----ﾊﾟｯｹｰｼﾞ----</t>
  </si>
  <si>
    <t>RHUP125A2(5HP)</t>
  </si>
  <si>
    <t>AWH- 901A</t>
    <phoneticPr fontId="2"/>
  </si>
  <si>
    <t>60Hz φ150 55kW高揚程</t>
    <rPh sb="14" eb="15">
      <t>タカ</t>
    </rPh>
    <phoneticPr fontId="2"/>
  </si>
  <si>
    <t>空冷ﾋｰﾄﾎﾟﾝﾌﾟﾊﾟｯｹｰｼﾞ(5HP)</t>
    <rPh sb="0" eb="2">
      <t>クウレイ</t>
    </rPh>
    <phoneticPr fontId="2"/>
  </si>
  <si>
    <t>RP-NP140CHV1</t>
  </si>
  <si>
    <t>RHUP190A2(7.5HP)</t>
  </si>
  <si>
    <t>60Hz φ150 75kW</t>
    <phoneticPr fontId="2"/>
  </si>
  <si>
    <t>空冷ﾋｰﾄﾎﾟﾝﾌﾟﾊﾟｯｹｰｼﾞ（8HP)</t>
    <rPh sb="0" eb="2">
      <t>クウレイ</t>
    </rPh>
    <phoneticPr fontId="2"/>
  </si>
  <si>
    <t>RP-NP224CHV1</t>
  </si>
  <si>
    <t>RHUP250A2(10HP)</t>
  </si>
  <si>
    <t>空冷ﾋｰﾄﾎﾟﾝﾌﾟﾊﾟｯｹｰｼﾞ(10HP)</t>
    <rPh sb="0" eb="2">
      <t>クウレイ</t>
    </rPh>
    <phoneticPr fontId="2"/>
  </si>
  <si>
    <t>RP-NP280CHV1</t>
  </si>
  <si>
    <t>RHUP375A2(15HP)</t>
  </si>
  <si>
    <t>AWH-1301A</t>
    <phoneticPr fontId="2"/>
  </si>
  <si>
    <t>60Hz φ200 18.5kW</t>
    <phoneticPr fontId="2"/>
  </si>
  <si>
    <t>空冷ﾋｰﾄﾎﾟﾝﾌﾟﾊﾟｯｹｰｼﾞ(15HP)</t>
    <rPh sb="0" eb="2">
      <t>クウレイ</t>
    </rPh>
    <phoneticPr fontId="2"/>
  </si>
  <si>
    <t>RP-NP450CHV1</t>
  </si>
  <si>
    <t>RHUP500A2(20HP)</t>
  </si>
  <si>
    <t>60Hz φ200 22kW</t>
    <phoneticPr fontId="2"/>
  </si>
  <si>
    <t>空冷ﾋｰﾄﾎﾟﾝﾌﾟﾊﾟｯｹｰｼ(20HP)</t>
    <rPh sb="0" eb="2">
      <t>クウレイ</t>
    </rPh>
    <phoneticPr fontId="2"/>
  </si>
  <si>
    <t>RP-NP560CHV1</t>
  </si>
  <si>
    <t>RHUP750A2(30HP)</t>
  </si>
  <si>
    <t>AWH-1601A</t>
    <phoneticPr fontId="2"/>
  </si>
  <si>
    <t>60Hz φ200 30kW</t>
    <phoneticPr fontId="2"/>
  </si>
  <si>
    <t>--------</t>
  </si>
  <si>
    <t>----以下ﾁｬﾝﾊﾞ無し-----</t>
    <rPh sb="4" eb="6">
      <t>イカ</t>
    </rPh>
    <rPh sb="11" eb="12">
      <t>ナ</t>
    </rPh>
    <phoneticPr fontId="2"/>
  </si>
  <si>
    <t>60Hz φ200 37kW</t>
    <phoneticPr fontId="2"/>
  </si>
  <si>
    <t>空冷ﾋｰﾄﾎﾟﾝﾌﾟﾊﾟｯｹｰｼﾞ(30HP)</t>
    <rPh sb="0" eb="2">
      <t>クウレイ</t>
    </rPh>
    <phoneticPr fontId="2"/>
  </si>
  <si>
    <t>RP-NP800CHVP1</t>
  </si>
  <si>
    <t>60Hz φ200 45kW</t>
    <phoneticPr fontId="2"/>
  </si>
  <si>
    <t>空冷ﾋｰﾄﾎﾟﾝﾌﾟﾊﾟｯｹｰｼﾞ(40HP)</t>
    <rPh sb="0" eb="2">
      <t>クウレイ</t>
    </rPh>
    <phoneticPr fontId="2"/>
  </si>
  <si>
    <t>RP-NP1120CHVP1</t>
  </si>
  <si>
    <t>AWP-30LP</t>
    <phoneticPr fontId="2"/>
  </si>
  <si>
    <t>60Hz φ200 55kW</t>
    <phoneticPr fontId="2"/>
  </si>
  <si>
    <t>空冷ﾋｰﾄﾎﾟﾝﾌﾟﾊﾟｯｹｰｼﾞ(50HP)</t>
    <rPh sb="0" eb="2">
      <t>クウレイ</t>
    </rPh>
    <phoneticPr fontId="2"/>
  </si>
  <si>
    <t>RP-NP1400CHVP1</t>
  </si>
  <si>
    <t>AWP-40LP</t>
    <phoneticPr fontId="2"/>
  </si>
  <si>
    <t>60Hz φ200 75kW低揚程</t>
    <phoneticPr fontId="2"/>
  </si>
  <si>
    <t>空冷ﾋｰﾄﾎﾟﾝﾌﾟﾊﾟｯｹｰｼﾞ(60HP)</t>
    <rPh sb="0" eb="2">
      <t>クウレイ</t>
    </rPh>
    <phoneticPr fontId="2"/>
  </si>
  <si>
    <t>RP-NP1600CHVP1</t>
  </si>
  <si>
    <t>60Hz φ200 75kW高揚程</t>
    <rPh sb="14" eb="15">
      <t>タカ</t>
    </rPh>
    <phoneticPr fontId="2"/>
  </si>
  <si>
    <t>AWH- 501G</t>
    <phoneticPr fontId="2"/>
  </si>
  <si>
    <t>60Hz φ200 90kW</t>
    <phoneticPr fontId="2"/>
  </si>
  <si>
    <t>空冷ﾊﾟｯｹｰｼﾞ(5HP)</t>
    <rPh sb="0" eb="2">
      <t>クウレイ</t>
    </rPh>
    <phoneticPr fontId="2"/>
  </si>
  <si>
    <t>RP-P140RA2</t>
  </si>
  <si>
    <t>AWH- 601G</t>
    <phoneticPr fontId="2"/>
  </si>
  <si>
    <t>空冷ﾊﾟｯｹｰｼﾞ（8HP)</t>
    <rPh sb="0" eb="2">
      <t>クウレイ</t>
    </rPh>
    <phoneticPr fontId="2"/>
  </si>
  <si>
    <t>RP-P224RA2</t>
  </si>
  <si>
    <t>AWH- 701G</t>
    <phoneticPr fontId="2"/>
  </si>
  <si>
    <t>空冷ﾊﾟｯｹｰｼﾞ(10HP)</t>
    <rPh sb="0" eb="2">
      <t>クウレイ</t>
    </rPh>
    <phoneticPr fontId="2"/>
  </si>
  <si>
    <t>RP-P280RA2</t>
  </si>
  <si>
    <t>AWH- 801G</t>
    <phoneticPr fontId="2"/>
  </si>
  <si>
    <t>空冷ﾊﾟｯｹｰｼﾞ(15HP)</t>
    <rPh sb="0" eb="2">
      <t>クウレイ</t>
    </rPh>
    <phoneticPr fontId="2"/>
  </si>
  <si>
    <t>RP-P450RA2</t>
  </si>
  <si>
    <t>AWH- 901G</t>
    <phoneticPr fontId="2"/>
  </si>
  <si>
    <t>空冷ﾊﾟｯｹｰｼ(20HP)</t>
    <rPh sb="0" eb="2">
      <t>クウレイ</t>
    </rPh>
    <phoneticPr fontId="2"/>
  </si>
  <si>
    <t>RP-P560RA2</t>
  </si>
  <si>
    <t>AWH-1001G</t>
    <phoneticPr fontId="2"/>
  </si>
  <si>
    <t>--------以下ﾁｬﾝﾊﾞ無し</t>
    <rPh sb="8" eb="10">
      <t>イカ</t>
    </rPh>
    <rPh sb="15" eb="16">
      <t>ナ</t>
    </rPh>
    <phoneticPr fontId="2"/>
  </si>
  <si>
    <t>AWH-1201G</t>
    <phoneticPr fontId="2"/>
  </si>
  <si>
    <t>空冷ﾊﾟｯｹｰｼﾞ(30HP)</t>
    <rPh sb="0" eb="2">
      <t>クウレイ</t>
    </rPh>
    <phoneticPr fontId="2"/>
  </si>
  <si>
    <t>RP-P630RAP2</t>
  </si>
  <si>
    <t>AWH-1301G</t>
    <phoneticPr fontId="2"/>
  </si>
  <si>
    <t>AWH-1501G</t>
    <phoneticPr fontId="2"/>
  </si>
  <si>
    <t>AWH-1601G</t>
    <phoneticPr fontId="2"/>
  </si>
  <si>
    <t>AWH-1801G</t>
    <phoneticPr fontId="2"/>
  </si>
  <si>
    <t>AWH-2001G</t>
    <phoneticPr fontId="2"/>
  </si>
  <si>
    <t>単位</t>
    <rPh sb="0" eb="2">
      <t>タンイ</t>
    </rPh>
    <phoneticPr fontId="2"/>
  </si>
  <si>
    <t>価格</t>
    <rPh sb="0" eb="2">
      <t>カカク</t>
    </rPh>
    <phoneticPr fontId="2"/>
  </si>
  <si>
    <t>電線管材工単価</t>
    <rPh sb="0" eb="3">
      <t>デンセンカン</t>
    </rPh>
    <rPh sb="3" eb="5">
      <t>ザイコウ</t>
    </rPh>
    <rPh sb="5" eb="7">
      <t>タンカ</t>
    </rPh>
    <phoneticPr fontId="2"/>
  </si>
  <si>
    <t>配線材工単価</t>
    <rPh sb="0" eb="2">
      <t>ハイセン</t>
    </rPh>
    <rPh sb="2" eb="3">
      <t>ザイ</t>
    </rPh>
    <rPh sb="3" eb="4">
      <t>コウ</t>
    </rPh>
    <rPh sb="4" eb="6">
      <t>タンカ</t>
    </rPh>
    <phoneticPr fontId="2"/>
  </si>
  <si>
    <t>配線用遮断器</t>
    <rPh sb="0" eb="3">
      <t>ハイセンヨウ</t>
    </rPh>
    <rPh sb="3" eb="6">
      <t>シャダンキ</t>
    </rPh>
    <phoneticPr fontId="2"/>
  </si>
  <si>
    <t>複合環境制御・ｱｸﾞﾘﾈｯﾄ</t>
    <rPh sb="0" eb="2">
      <t>フクゴウ</t>
    </rPh>
    <rPh sb="2" eb="4">
      <t>カンキョウ</t>
    </rPh>
    <rPh sb="4" eb="6">
      <t>セイギョ</t>
    </rPh>
    <phoneticPr fontId="2"/>
  </si>
  <si>
    <t>i3</t>
    <phoneticPr fontId="2"/>
  </si>
  <si>
    <t>017534000</t>
  </si>
  <si>
    <t>温室環境制御盤</t>
    <rPh sb="0" eb="2">
      <t>オンシツ</t>
    </rPh>
    <phoneticPr fontId="2"/>
  </si>
  <si>
    <t>MC-3001</t>
    <phoneticPr fontId="2"/>
  </si>
  <si>
    <t>008526000</t>
  </si>
  <si>
    <t>4段ｻｰﾓ</t>
    <rPh sb="1" eb="2">
      <t>ダン</t>
    </rPh>
    <phoneticPr fontId="2"/>
  </si>
  <si>
    <t>NT-145</t>
    <phoneticPr fontId="2"/>
  </si>
  <si>
    <t>007881000</t>
  </si>
  <si>
    <t>換気窓制御盤</t>
    <rPh sb="0" eb="2">
      <t>カンキ</t>
    </rPh>
    <rPh sb="2" eb="3">
      <t>マド</t>
    </rPh>
    <rPh sb="3" eb="5">
      <t>セイギョ</t>
    </rPh>
    <rPh sb="5" eb="6">
      <t>バン</t>
    </rPh>
    <phoneticPr fontId="2"/>
  </si>
  <si>
    <t>TSC-1204</t>
  </si>
  <si>
    <t>電線管(露出)</t>
    <rPh sb="0" eb="2">
      <t>デンセン</t>
    </rPh>
    <rPh sb="2" eb="3">
      <t>カン</t>
    </rPh>
    <rPh sb="4" eb="6">
      <t>ロシュツ</t>
    </rPh>
    <phoneticPr fontId="2"/>
  </si>
  <si>
    <t>Ｅ19</t>
    <phoneticPr fontId="2"/>
  </si>
  <si>
    <t>ﾋﾞﾆﾙｼｰｽｹｰﾌﾞﾙ</t>
    <phoneticPr fontId="2"/>
  </si>
  <si>
    <t>CVV　0.75-1C</t>
    <phoneticPr fontId="2"/>
  </si>
  <si>
    <t>ｵｰﾄﾌﾞﾚｰｶ</t>
    <phoneticPr fontId="2"/>
  </si>
  <si>
    <t>2P 15AT/30AF BW32AAG-2P015</t>
    <phoneticPr fontId="2"/>
  </si>
  <si>
    <t>天窓側窓関連</t>
    <rPh sb="0" eb="2">
      <t>テンマド</t>
    </rPh>
    <rPh sb="2" eb="3">
      <t>ソク</t>
    </rPh>
    <rPh sb="3" eb="4">
      <t>マド</t>
    </rPh>
    <rPh sb="4" eb="6">
      <t>カンレン</t>
    </rPh>
    <phoneticPr fontId="2"/>
  </si>
  <si>
    <t>ag3</t>
    <phoneticPr fontId="2"/>
  </si>
  <si>
    <t>017535000</t>
  </si>
  <si>
    <t>MC-3501</t>
    <phoneticPr fontId="2"/>
  </si>
  <si>
    <t>008809000</t>
  </si>
  <si>
    <t>NT-145S1</t>
    <phoneticPr fontId="2"/>
  </si>
  <si>
    <t>007882000</t>
  </si>
  <si>
    <t>換気窓制御盤</t>
  </si>
  <si>
    <t>TSC-1404</t>
  </si>
  <si>
    <t>Ｅ25</t>
    <phoneticPr fontId="2"/>
  </si>
  <si>
    <t>CVV　0.75-2C</t>
    <phoneticPr fontId="2"/>
  </si>
  <si>
    <t>3P 15AT/30AF BW32AAG-3P015</t>
    <phoneticPr fontId="2"/>
  </si>
  <si>
    <t>周辺機器制御</t>
    <rPh sb="0" eb="4">
      <t>シュウヘンキキ</t>
    </rPh>
    <rPh sb="4" eb="6">
      <t>セイギョ</t>
    </rPh>
    <phoneticPr fontId="2"/>
  </si>
  <si>
    <t>q3</t>
    <phoneticPr fontId="2"/>
  </si>
  <si>
    <t>042411000</t>
    <phoneticPr fontId="2"/>
  </si>
  <si>
    <t>統合環境制御盤</t>
    <rPh sb="0" eb="2">
      <t>トウゴウ</t>
    </rPh>
    <phoneticPr fontId="2"/>
  </si>
  <si>
    <t>MC-6001</t>
    <phoneticPr fontId="2"/>
  </si>
  <si>
    <t>008810000</t>
  </si>
  <si>
    <t>NT-145C</t>
    <phoneticPr fontId="2"/>
  </si>
  <si>
    <t>007885000</t>
  </si>
  <si>
    <t>TSC-4204</t>
  </si>
  <si>
    <t>Ｅ31</t>
    <phoneticPr fontId="2"/>
  </si>
  <si>
    <t>CVV　0.75-3C</t>
    <phoneticPr fontId="2"/>
  </si>
  <si>
    <t>------------</t>
    <phoneticPr fontId="2"/>
  </si>
  <si>
    <t>008811000</t>
  </si>
  <si>
    <t>NT-145CS1</t>
    <phoneticPr fontId="2"/>
  </si>
  <si>
    <t>007886000</t>
  </si>
  <si>
    <t>TSC-4404</t>
  </si>
  <si>
    <t>Ｅ39</t>
    <phoneticPr fontId="2"/>
  </si>
  <si>
    <t>CVV　0.75-4C</t>
    <phoneticPr fontId="2"/>
  </si>
  <si>
    <t xml:space="preserve">湿度ｾﾝｻｰｾｯﾄ   </t>
  </si>
  <si>
    <t xml:space="preserve">HUS-12   </t>
    <phoneticPr fontId="2"/>
  </si>
  <si>
    <t>044249000</t>
    <phoneticPr fontId="2"/>
  </si>
  <si>
    <t>多段ｻｰﾓ</t>
    <rPh sb="0" eb="1">
      <t>タ</t>
    </rPh>
    <rPh sb="1" eb="2">
      <t>ダン</t>
    </rPh>
    <phoneticPr fontId="2"/>
  </si>
  <si>
    <t>NＴ-381ＨＮ</t>
    <phoneticPr fontId="2"/>
  </si>
  <si>
    <t>Ｅ51</t>
    <phoneticPr fontId="2"/>
  </si>
  <si>
    <t>CVV　1.25-1C</t>
    <phoneticPr fontId="2"/>
  </si>
  <si>
    <t>018380000</t>
    <phoneticPr fontId="2"/>
  </si>
  <si>
    <t>温湿度ｾﾝｻｰｾｯﾄ</t>
    <rPh sb="0" eb="3">
      <t>オンシツド</t>
    </rPh>
    <phoneticPr fontId="2"/>
  </si>
  <si>
    <t>HUS-13</t>
    <phoneticPr fontId="2"/>
  </si>
  <si>
    <t>040023000</t>
  </si>
  <si>
    <t xml:space="preserve">天窓減速機    </t>
  </si>
  <si>
    <t>TSD-403RAN1</t>
  </si>
  <si>
    <t>Ｅ63</t>
    <phoneticPr fontId="2"/>
  </si>
  <si>
    <t>CVV　1.25-2C</t>
    <phoneticPr fontId="2"/>
  </si>
  <si>
    <t>144507000</t>
  </si>
  <si>
    <t>室温ｾﾝｻｰｾｯﾄ</t>
    <phoneticPr fontId="2"/>
  </si>
  <si>
    <t>TS-102P</t>
    <phoneticPr fontId="2"/>
  </si>
  <si>
    <t>029939000</t>
    <phoneticPr fontId="2"/>
  </si>
  <si>
    <r>
      <t>CO</t>
    </r>
    <r>
      <rPr>
        <vertAlign val="subscript"/>
        <sz val="9"/>
        <rFont val="ＭＳ Ｐゴシック"/>
        <family val="3"/>
        <charset val="128"/>
      </rPr>
      <t>2</t>
    </r>
    <r>
      <rPr>
        <sz val="9"/>
        <rFont val="ＭＳ Ｐゴシック"/>
        <family val="3"/>
        <charset val="128"/>
      </rPr>
      <t>ｺﾝﾄﾛｰﾗ</t>
    </r>
    <phoneticPr fontId="2"/>
  </si>
  <si>
    <t>CGC-600</t>
    <phoneticPr fontId="2"/>
  </si>
  <si>
    <t>040025000</t>
  </si>
  <si>
    <t>TSD-403LAN1</t>
  </si>
  <si>
    <t>Ｅ75</t>
    <phoneticPr fontId="2"/>
  </si>
  <si>
    <t>CVV　1.25-3C</t>
    <phoneticPr fontId="2"/>
  </si>
  <si>
    <t>電線管（材工単価）</t>
    <rPh sb="0" eb="2">
      <t>デンセン</t>
    </rPh>
    <rPh sb="2" eb="3">
      <t>カン</t>
    </rPh>
    <rPh sb="4" eb="5">
      <t>ザイ</t>
    </rPh>
    <rPh sb="5" eb="6">
      <t>コウ</t>
    </rPh>
    <rPh sb="6" eb="8">
      <t>タンカ</t>
    </rPh>
    <phoneticPr fontId="2"/>
  </si>
  <si>
    <t>aw3</t>
    <phoneticPr fontId="2"/>
  </si>
  <si>
    <t>043920000</t>
    <phoneticPr fontId="2"/>
  </si>
  <si>
    <t>ｾﾝｻｰｶﾊﾞｰ</t>
    <phoneticPr fontId="2"/>
  </si>
  <si>
    <t>BSC-10</t>
    <phoneticPr fontId="2"/>
  </si>
  <si>
    <t>038180000</t>
    <phoneticPr fontId="2"/>
  </si>
  <si>
    <t>CGC-600SET14</t>
    <phoneticPr fontId="2"/>
  </si>
  <si>
    <t>040060000</t>
  </si>
  <si>
    <t>TSD-403LAS1</t>
  </si>
  <si>
    <t>ﾗｲﾆﾝｸﾞ鋼管(埋設)</t>
    <rPh sb="6" eb="8">
      <t>コウカン</t>
    </rPh>
    <rPh sb="9" eb="11">
      <t>マイセツ</t>
    </rPh>
    <phoneticPr fontId="2"/>
  </si>
  <si>
    <t>CVV　1.25-4C</t>
    <phoneticPr fontId="2"/>
  </si>
  <si>
    <t>電線   （材工単価）</t>
    <rPh sb="0" eb="2">
      <t>デンセン</t>
    </rPh>
    <rPh sb="6" eb="7">
      <t>ザイ</t>
    </rPh>
    <rPh sb="7" eb="8">
      <t>コウ</t>
    </rPh>
    <rPh sb="8" eb="10">
      <t>タンカ</t>
    </rPh>
    <phoneticPr fontId="2"/>
  </si>
  <si>
    <t>be3</t>
    <phoneticPr fontId="2"/>
  </si>
  <si>
    <t>038167000</t>
    <phoneticPr fontId="2"/>
  </si>
  <si>
    <r>
      <t>CO</t>
    </r>
    <r>
      <rPr>
        <vertAlign val="subscript"/>
        <sz val="9"/>
        <rFont val="ＭＳ Ｐゴシック"/>
        <family val="3"/>
        <charset val="128"/>
      </rPr>
      <t>2</t>
    </r>
    <r>
      <rPr>
        <sz val="9"/>
        <rFont val="ＭＳ Ｐゴシック"/>
        <family val="3"/>
        <charset val="128"/>
      </rPr>
      <t>ｾﾝｻｰ</t>
    </r>
    <phoneticPr fontId="2"/>
  </si>
  <si>
    <t>CGS-14</t>
    <phoneticPr fontId="2"/>
  </si>
  <si>
    <t>029133000</t>
    <phoneticPr fontId="2"/>
  </si>
  <si>
    <t>TSD-603RAN1</t>
  </si>
  <si>
    <t>遮断器 （材工単価）</t>
    <rPh sb="0" eb="2">
      <t>シャダン</t>
    </rPh>
    <rPh sb="2" eb="3">
      <t>キ</t>
    </rPh>
    <rPh sb="5" eb="7">
      <t>ザイコウ</t>
    </rPh>
    <rPh sb="7" eb="9">
      <t>タンカ</t>
    </rPh>
    <phoneticPr fontId="2"/>
  </si>
  <si>
    <t>bn3</t>
    <phoneticPr fontId="2"/>
  </si>
  <si>
    <t>001614000</t>
    <phoneticPr fontId="2"/>
  </si>
  <si>
    <t>日射ｾﾝｻｰ</t>
    <rPh sb="0" eb="2">
      <t>ニッシャ</t>
    </rPh>
    <phoneticPr fontId="2"/>
  </si>
  <si>
    <t>HRS-10A</t>
    <phoneticPr fontId="2"/>
  </si>
  <si>
    <t>101761000</t>
    <phoneticPr fontId="2"/>
  </si>
  <si>
    <t>ﾈﾎﾟﾝｻｰﾓ</t>
    <phoneticPr fontId="2"/>
  </si>
  <si>
    <t>NT-100</t>
    <phoneticPr fontId="2"/>
  </si>
  <si>
    <t>ｹｰﾌﾞﾙ(管内配線)</t>
    <rPh sb="6" eb="7">
      <t>カン</t>
    </rPh>
    <rPh sb="7" eb="8">
      <t>ナイ</t>
    </rPh>
    <rPh sb="8" eb="10">
      <t>ハイセン</t>
    </rPh>
    <phoneticPr fontId="2"/>
  </si>
  <si>
    <t>011527000</t>
    <phoneticPr fontId="2"/>
  </si>
  <si>
    <t>雨ｾﾝｻｰ</t>
    <rPh sb="0" eb="1">
      <t>アメ</t>
    </rPh>
    <phoneticPr fontId="2"/>
  </si>
  <si>
    <t>RTS-11A</t>
    <phoneticPr fontId="2"/>
  </si>
  <si>
    <t>CVV　1.25-3C</t>
  </si>
  <si>
    <t>144535000</t>
    <phoneticPr fontId="2"/>
  </si>
  <si>
    <t>温度ｾﾝｻｰ</t>
    <rPh sb="0" eb="2">
      <t>オンド</t>
    </rPh>
    <phoneticPr fontId="2"/>
  </si>
  <si>
    <t>TS-102A 25M</t>
    <phoneticPr fontId="2"/>
  </si>
  <si>
    <t>105821000</t>
    <phoneticPr fontId="2"/>
  </si>
  <si>
    <t>ｷｬｽﾉｰﾙ</t>
    <phoneticPr fontId="2"/>
  </si>
  <si>
    <t>HCA-5031</t>
    <phoneticPr fontId="2"/>
  </si>
  <si>
    <t>CVV　1.25-4C</t>
  </si>
  <si>
    <t>144530000</t>
    <phoneticPr fontId="2"/>
  </si>
  <si>
    <t>水温･地温ｾﾝｻｰ</t>
    <rPh sb="0" eb="2">
      <t>スイオン</t>
    </rPh>
    <rPh sb="3" eb="5">
      <t>チオン</t>
    </rPh>
    <phoneticPr fontId="2"/>
  </si>
  <si>
    <t>TS-101W</t>
    <phoneticPr fontId="2"/>
  </si>
  <si>
    <t>CVV　1.25-5C</t>
  </si>
  <si>
    <t>041821000</t>
    <phoneticPr fontId="2"/>
  </si>
  <si>
    <t>土壌水分ｾﾝｻｰ</t>
    <rPh sb="0" eb="2">
      <t>ドジョウ</t>
    </rPh>
    <rPh sb="2" eb="4">
      <t>スイブン</t>
    </rPh>
    <phoneticPr fontId="2"/>
  </si>
  <si>
    <t>DWS-10L</t>
    <phoneticPr fontId="2"/>
  </si>
  <si>
    <t>016967000</t>
  </si>
  <si>
    <t>ﾎﾟﾝﾌﾟｺﾝﾄﾛｰﾗ</t>
    <phoneticPr fontId="2"/>
  </si>
  <si>
    <t>PS-T23</t>
    <phoneticPr fontId="2"/>
  </si>
  <si>
    <t>CVV　1.25-6C</t>
  </si>
  <si>
    <t>041823000</t>
    <phoneticPr fontId="2"/>
  </si>
  <si>
    <t>土壌水分+温度+ECｾﾝｻｰ</t>
    <rPh sb="0" eb="2">
      <t>ドジョウ</t>
    </rPh>
    <rPh sb="2" eb="4">
      <t>スイブン</t>
    </rPh>
    <rPh sb="5" eb="7">
      <t>オンド</t>
    </rPh>
    <phoneticPr fontId="2"/>
  </si>
  <si>
    <t>DWS-20L</t>
    <phoneticPr fontId="2"/>
  </si>
  <si>
    <t>CVV　1.25-7C</t>
  </si>
  <si>
    <t>014146001</t>
    <phoneticPr fontId="2"/>
  </si>
  <si>
    <t>風速ｾﾝｻｰ</t>
    <rPh sb="0" eb="2">
      <t>フウソク</t>
    </rPh>
    <phoneticPr fontId="2"/>
  </si>
  <si>
    <t>WTS-30</t>
    <phoneticPr fontId="2"/>
  </si>
  <si>
    <t>212767000</t>
    <phoneticPr fontId="2"/>
  </si>
  <si>
    <t>感震器</t>
    <phoneticPr fontId="2"/>
  </si>
  <si>
    <t>BES-100</t>
    <phoneticPr fontId="2"/>
  </si>
  <si>
    <t>CVV　1.25-8C</t>
  </si>
  <si>
    <t>014285001</t>
    <phoneticPr fontId="2"/>
  </si>
  <si>
    <t>風向+風速ｾﾝｻｰ</t>
    <rPh sb="0" eb="2">
      <t>フウコウ</t>
    </rPh>
    <rPh sb="3" eb="5">
      <t>フウソク</t>
    </rPh>
    <phoneticPr fontId="2"/>
  </si>
  <si>
    <t>WTS-40</t>
    <phoneticPr fontId="2"/>
  </si>
  <si>
    <t>027155000</t>
    <phoneticPr fontId="2"/>
  </si>
  <si>
    <t>不完全燃焼警報器</t>
    <phoneticPr fontId="2"/>
  </si>
  <si>
    <t>SG-35</t>
    <phoneticPr fontId="2"/>
  </si>
  <si>
    <t>CVV　1.25-10C</t>
  </si>
  <si>
    <t>---MC-6001で使用---------</t>
    <rPh sb="11" eb="13">
      <t>シヨウ</t>
    </rPh>
    <phoneticPr fontId="2"/>
  </si>
  <si>
    <t>105659000</t>
    <phoneticPr fontId="2"/>
  </si>
  <si>
    <t>ﾈﾎﾟﾝﾀｲﾏBOX</t>
    <phoneticPr fontId="2"/>
  </si>
  <si>
    <t>TMB-200-11</t>
    <phoneticPr fontId="2"/>
  </si>
  <si>
    <t>ｹｰﾌﾞﾙ(ﾗｯｸ配線)</t>
    <rPh sb="9" eb="11">
      <t>ハイセン</t>
    </rPh>
    <phoneticPr fontId="2"/>
  </si>
  <si>
    <t>105877000</t>
  </si>
  <si>
    <t>TMB-100-11</t>
    <phoneticPr fontId="2"/>
  </si>
  <si>
    <t>046454000</t>
    <phoneticPr fontId="2"/>
  </si>
  <si>
    <t>変換ｺﾈｸﾀJ</t>
    <rPh sb="0" eb="2">
      <t>ヘンカン</t>
    </rPh>
    <phoneticPr fontId="2"/>
  </si>
  <si>
    <t>BSC-10用</t>
    <rPh sb="6" eb="7">
      <t>ヨウ</t>
    </rPh>
    <phoneticPr fontId="2"/>
  </si>
  <si>
    <t>---MAC-5010で使用--------</t>
    <rPh sb="12" eb="14">
      <t>シヨウ</t>
    </rPh>
    <phoneticPr fontId="2"/>
  </si>
  <si>
    <t>024321000</t>
    <phoneticPr fontId="2"/>
  </si>
  <si>
    <t>変換ｺﾈｸﾀA</t>
    <rPh sb="0" eb="1">
      <t>ヘンカン</t>
    </rPh>
    <phoneticPr fontId="2"/>
  </si>
  <si>
    <t>温度･日射用</t>
    <rPh sb="0" eb="2">
      <t>オンド</t>
    </rPh>
    <rPh sb="3" eb="5">
      <t>ニッシャ</t>
    </rPh>
    <rPh sb="5" eb="6">
      <t>ヨウ</t>
    </rPh>
    <phoneticPr fontId="2"/>
  </si>
  <si>
    <t>024322000</t>
    <phoneticPr fontId="2"/>
  </si>
  <si>
    <t>変換ｺﾈｸﾀB</t>
    <rPh sb="0" eb="1">
      <t>ヘンカン</t>
    </rPh>
    <phoneticPr fontId="2"/>
  </si>
  <si>
    <t>湿度用</t>
    <rPh sb="0" eb="2">
      <t>シツド</t>
    </rPh>
    <rPh sb="2" eb="3">
      <t>ヨウ</t>
    </rPh>
    <phoneticPr fontId="2"/>
  </si>
  <si>
    <t>024324000</t>
    <phoneticPr fontId="2"/>
  </si>
  <si>
    <t>変換ｺﾈｸﾀC</t>
    <rPh sb="0" eb="1">
      <t>ヘンカン</t>
    </rPh>
    <phoneticPr fontId="2"/>
  </si>
  <si>
    <t>二酸化炭素用</t>
    <rPh sb="0" eb="3">
      <t>ニサンカ</t>
    </rPh>
    <rPh sb="3" eb="5">
      <t>タンソ</t>
    </rPh>
    <rPh sb="5" eb="6">
      <t>ヨウ</t>
    </rPh>
    <phoneticPr fontId="2"/>
  </si>
  <si>
    <t>2016_4/69期農用機器価格表対応</t>
    <rPh sb="8" eb="9">
      <t>キ</t>
    </rPh>
    <rPh sb="9" eb="11">
      <t>ノウヨウ</t>
    </rPh>
    <rPh sb="11" eb="13">
      <t>キキ</t>
    </rPh>
    <rPh sb="14" eb="15">
      <t>ブヒン</t>
    </rPh>
    <rPh sb="15" eb="16">
      <t>ヒョウ</t>
    </rPh>
    <rPh sb="16" eb="18">
      <t>タイオウ</t>
    </rPh>
    <phoneticPr fontId="2"/>
  </si>
  <si>
    <t>024326000</t>
    <phoneticPr fontId="2"/>
  </si>
  <si>
    <t>変換ｺﾈｸﾀD</t>
    <rPh sb="0" eb="1">
      <t>ヘンカン</t>
    </rPh>
    <phoneticPr fontId="2"/>
  </si>
  <si>
    <t>風速用</t>
    <rPh sb="0" eb="2">
      <t>フウソク</t>
    </rPh>
    <rPh sb="2" eb="3">
      <t>ヨウ</t>
    </rPh>
    <phoneticPr fontId="2"/>
  </si>
  <si>
    <t>70期価格修正</t>
    <phoneticPr fontId="2"/>
  </si>
  <si>
    <t>024332000</t>
    <phoneticPr fontId="2"/>
  </si>
  <si>
    <t>変換ｺﾈｸﾀE</t>
    <rPh sb="0" eb="1">
      <t>ヘンカン</t>
    </rPh>
    <phoneticPr fontId="2"/>
  </si>
  <si>
    <t>風向風速用</t>
    <rPh sb="0" eb="2">
      <t>フウコウ</t>
    </rPh>
    <rPh sb="2" eb="4">
      <t>フウソク</t>
    </rPh>
    <rPh sb="4" eb="5">
      <t>ヨウ</t>
    </rPh>
    <phoneticPr fontId="2"/>
  </si>
  <si>
    <t>CV    2.0-4C</t>
    <phoneticPr fontId="2"/>
  </si>
  <si>
    <t>71期価格修正</t>
    <phoneticPr fontId="2"/>
  </si>
  <si>
    <t>039362000</t>
    <phoneticPr fontId="2"/>
  </si>
  <si>
    <t>変換ｺﾈｸﾀF</t>
    <rPh sb="0" eb="1">
      <t>ヘンカン</t>
    </rPh>
    <phoneticPr fontId="2"/>
  </si>
  <si>
    <t>汎用ｾﾝｻｰ用</t>
    <rPh sb="0" eb="2">
      <t>ハンヨウ</t>
    </rPh>
    <rPh sb="6" eb="7">
      <t>ヨウ</t>
    </rPh>
    <phoneticPr fontId="2"/>
  </si>
  <si>
    <t>CV    3.5-4C</t>
    <phoneticPr fontId="2"/>
  </si>
  <si>
    <t>73期農用機器･熱機器･KHV･ｻｰﾋﾞｽ部品価格表対応</t>
    <rPh sb="2" eb="3">
      <t>キ</t>
    </rPh>
    <rPh sb="3" eb="5">
      <t>キキ</t>
    </rPh>
    <rPh sb="7" eb="8">
      <t>ネツ</t>
    </rPh>
    <rPh sb="8" eb="10">
      <t>キキ</t>
    </rPh>
    <rPh sb="19" eb="21">
      <t>ブヒン</t>
    </rPh>
    <rPh sb="21" eb="23">
      <t>カカク</t>
    </rPh>
    <rPh sb="23" eb="24">
      <t>ヒョウ</t>
    </rPh>
    <rPh sb="24" eb="26">
      <t>タイオウ</t>
    </rPh>
    <phoneticPr fontId="2"/>
  </si>
  <si>
    <t>CV    5.5-4C</t>
    <phoneticPr fontId="2"/>
  </si>
  <si>
    <t>’19.09訂正箇所：配線材品名・型式、D10～13</t>
    <rPh sb="6" eb="8">
      <t>テイセイ</t>
    </rPh>
    <rPh sb="8" eb="10">
      <t>カショ</t>
    </rPh>
    <rPh sb="11" eb="13">
      <t>ハイセン</t>
    </rPh>
    <rPh sb="13" eb="14">
      <t>ザイ</t>
    </rPh>
    <rPh sb="14" eb="15">
      <t>シナ</t>
    </rPh>
    <rPh sb="15" eb="16">
      <t>メイ</t>
    </rPh>
    <rPh sb="17" eb="19">
      <t>カタシキ</t>
    </rPh>
    <phoneticPr fontId="2"/>
  </si>
  <si>
    <t>106351000</t>
  </si>
  <si>
    <t>雨･風速・風向感知器</t>
    <rPh sb="0" eb="1">
      <t>アメ</t>
    </rPh>
    <rPh sb="2" eb="4">
      <t>フウソク</t>
    </rPh>
    <rPh sb="5" eb="7">
      <t>フウコウ</t>
    </rPh>
    <rPh sb="7" eb="10">
      <t>カンチキ</t>
    </rPh>
    <phoneticPr fontId="2"/>
  </si>
  <si>
    <t xml:space="preserve">TSC-53  </t>
    <phoneticPr fontId="2"/>
  </si>
  <si>
    <t>CV    8.0-4C</t>
    <phoneticPr fontId="2"/>
  </si>
  <si>
    <t>74期価格修正</t>
    <phoneticPr fontId="2"/>
  </si>
  <si>
    <t>106348000</t>
    <phoneticPr fontId="2"/>
  </si>
  <si>
    <t>雨･風速感知器</t>
    <rPh sb="0" eb="1">
      <t>アメ</t>
    </rPh>
    <rPh sb="2" eb="4">
      <t>フウソク</t>
    </rPh>
    <rPh sb="4" eb="7">
      <t>カンチキ</t>
    </rPh>
    <phoneticPr fontId="2"/>
  </si>
  <si>
    <t xml:space="preserve">TSC-13  </t>
    <phoneticPr fontId="2"/>
  </si>
  <si>
    <t>75期価格修正・ABX追加・AN標準変更</t>
    <rPh sb="2" eb="3">
      <t>キ</t>
    </rPh>
    <rPh sb="3" eb="5">
      <t>カカク</t>
    </rPh>
    <rPh sb="5" eb="7">
      <t>シュウセイ</t>
    </rPh>
    <rPh sb="11" eb="13">
      <t>ツイカ</t>
    </rPh>
    <rPh sb="16" eb="18">
      <t>ヒョウジュン</t>
    </rPh>
    <rPh sb="18" eb="20">
      <t>ヘンコウ</t>
    </rPh>
    <phoneticPr fontId="2"/>
  </si>
  <si>
    <t>105991000</t>
    <phoneticPr fontId="2"/>
  </si>
  <si>
    <t>雨感知器</t>
    <rPh sb="0" eb="1">
      <t>アメ</t>
    </rPh>
    <rPh sb="1" eb="4">
      <t>カンチキ</t>
    </rPh>
    <phoneticPr fontId="2"/>
  </si>
  <si>
    <t xml:space="preserve">TSC-23   </t>
    <phoneticPr fontId="2"/>
  </si>
  <si>
    <t>001623000</t>
    <phoneticPr fontId="2"/>
  </si>
  <si>
    <t>風速感知器</t>
    <rPh sb="0" eb="2">
      <t>フウソク</t>
    </rPh>
    <rPh sb="2" eb="5">
      <t>カンチキ</t>
    </rPh>
    <phoneticPr fontId="2"/>
  </si>
  <si>
    <t xml:space="preserve">TSC-33 </t>
    <phoneticPr fontId="2"/>
  </si>
  <si>
    <t>010087000</t>
    <phoneticPr fontId="2"/>
  </si>
  <si>
    <t>避雷器</t>
    <rPh sb="0" eb="3">
      <t>ヒライキ</t>
    </rPh>
    <phoneticPr fontId="2"/>
  </si>
  <si>
    <t>LA-200T</t>
    <phoneticPr fontId="2"/>
  </si>
  <si>
    <t>--ANｱﾄﾞﾊﾞﾝｽ----------</t>
    <phoneticPr fontId="2"/>
  </si>
  <si>
    <t>043781000</t>
    <phoneticPr fontId="2"/>
  </si>
  <si>
    <t>ANｱﾄﾞﾊﾞﾝｽ AN-BOX</t>
    <phoneticPr fontId="2"/>
  </si>
  <si>
    <t>ABX-1000A</t>
    <phoneticPr fontId="2"/>
  </si>
  <si>
    <t>台</t>
    <phoneticPr fontId="2"/>
  </si>
  <si>
    <t>制御盤取付工事</t>
    <rPh sb="0" eb="2">
      <t>セイギョバン</t>
    </rPh>
    <rPh sb="2" eb="3">
      <t>バン</t>
    </rPh>
    <rPh sb="3" eb="7">
      <t>トリツケコウジ</t>
    </rPh>
    <phoneticPr fontId="2"/>
  </si>
  <si>
    <t>039361000</t>
    <phoneticPr fontId="2"/>
  </si>
  <si>
    <t>ﾓﾆﾀﾘﾝｸﾞｾﾝｻｰ</t>
    <phoneticPr fontId="2"/>
  </si>
  <si>
    <t>MAC-5010</t>
    <phoneticPr fontId="2"/>
  </si>
  <si>
    <t>ｼｰﾙﾄﾞ線</t>
    <rPh sb="5" eb="6">
      <t>セン</t>
    </rPh>
    <phoneticPr fontId="2"/>
  </si>
  <si>
    <t>MVVS 0.5SQ-2C</t>
    <phoneticPr fontId="2"/>
  </si>
  <si>
    <t>100m社内</t>
    <rPh sb="4" eb="6">
      <t>シャナイ</t>
    </rPh>
    <phoneticPr fontId="2"/>
  </si>
  <si>
    <t>049363000</t>
    <phoneticPr fontId="2"/>
  </si>
  <si>
    <t>AN-BOX用警報入力ﾕﾆｯﾄ</t>
    <rPh sb="6" eb="7">
      <t>ヨウ</t>
    </rPh>
    <rPh sb="7" eb="9">
      <t>ケイホウ</t>
    </rPh>
    <rPh sb="9" eb="11">
      <t>ニュウリョク</t>
    </rPh>
    <phoneticPr fontId="2"/>
  </si>
  <si>
    <t>AAL-1001A</t>
    <phoneticPr fontId="2"/>
  </si>
  <si>
    <t>MVVS 0.75SQ-3C</t>
    <phoneticPr fontId="2"/>
  </si>
  <si>
    <t>電源配線工事</t>
    <rPh sb="0" eb="4">
      <t>デンゲンハイセン</t>
    </rPh>
    <rPh sb="4" eb="6">
      <t>コウジ</t>
    </rPh>
    <phoneticPr fontId="2"/>
  </si>
  <si>
    <t>RE1000123</t>
    <phoneticPr fontId="2"/>
  </si>
  <si>
    <t>AN-BOX登録料</t>
    <rPh sb="6" eb="8">
      <t>トウロク</t>
    </rPh>
    <phoneticPr fontId="2"/>
  </si>
  <si>
    <t>(初回)</t>
    <rPh sb="1" eb="3">
      <t>ショカイ</t>
    </rPh>
    <phoneticPr fontId="2"/>
  </si>
  <si>
    <t>台</t>
    <rPh sb="0" eb="1">
      <t>ダイ</t>
    </rPh>
    <phoneticPr fontId="19"/>
  </si>
  <si>
    <t>MVVS 1.25SQ-3C</t>
    <phoneticPr fontId="2"/>
  </si>
  <si>
    <t>二次配線工事</t>
    <rPh sb="0" eb="2">
      <t>ニジ</t>
    </rPh>
    <rPh sb="2" eb="6">
      <t>ハイセンコウジ</t>
    </rPh>
    <phoneticPr fontId="2"/>
  </si>
  <si>
    <t>RE1000110</t>
  </si>
  <si>
    <t>ANｱﾄﾞﾊﾞﾝｽ遠隔機器利用料</t>
    <phoneticPr fontId="2"/>
  </si>
  <si>
    <t>(月払い)</t>
    <rPh sb="1" eb="2">
      <t>ツキ</t>
    </rPh>
    <rPh sb="2" eb="3">
      <t>バラ</t>
    </rPh>
    <phoneticPr fontId="2"/>
  </si>
  <si>
    <t>台/月</t>
    <rPh sb="0" eb="1">
      <t>ダイ</t>
    </rPh>
    <rPh sb="2" eb="3">
      <t>ツキ</t>
    </rPh>
    <phoneticPr fontId="19"/>
  </si>
  <si>
    <t>制御配線工事</t>
    <rPh sb="0" eb="6">
      <t>セイギョハイセンコウジ</t>
    </rPh>
    <phoneticPr fontId="2"/>
  </si>
  <si>
    <t>RE1000113</t>
  </si>
  <si>
    <t>(年払い)</t>
    <rPh sb="1" eb="3">
      <t>ネンバラ</t>
    </rPh>
    <phoneticPr fontId="2"/>
  </si>
  <si>
    <t>台/年</t>
    <rPh sb="0" eb="1">
      <t>ダイ</t>
    </rPh>
    <rPh sb="2" eb="3">
      <t>ネン</t>
    </rPh>
    <phoneticPr fontId="19"/>
  </si>
  <si>
    <t>ﾋﾞﾆｰﾙｷｬﾌﾞﾀｲﾔｺｰﾄﾞ</t>
    <phoneticPr fontId="2"/>
  </si>
  <si>
    <t>VCTF 0.75SQ-2C 富士</t>
    <rPh sb="15" eb="17">
      <t>フジ</t>
    </rPh>
    <phoneticPr fontId="2"/>
  </si>
  <si>
    <t>通信配線工事</t>
    <rPh sb="0" eb="4">
      <t>ツウシンハイセン</t>
    </rPh>
    <rPh sb="4" eb="6">
      <t>コウジ</t>
    </rPh>
    <phoneticPr fontId="2"/>
  </si>
  <si>
    <t>RE1000116</t>
  </si>
  <si>
    <t>(2ヵ月停止)</t>
    <rPh sb="3" eb="4">
      <t>ゲツ</t>
    </rPh>
    <rPh sb="4" eb="6">
      <t>テイシ</t>
    </rPh>
    <phoneticPr fontId="2"/>
  </si>
  <si>
    <t>VCTF 0.75SQ-3C 富士</t>
    <rPh sb="15" eb="17">
      <t>フジ</t>
    </rPh>
    <phoneticPr fontId="2"/>
  </si>
  <si>
    <t>同上配線工事</t>
    <rPh sb="0" eb="2">
      <t>ドウジョウ</t>
    </rPh>
    <rPh sb="2" eb="4">
      <t>ハイセン</t>
    </rPh>
    <rPh sb="4" eb="6">
      <t>コウジ</t>
    </rPh>
    <phoneticPr fontId="2"/>
  </si>
  <si>
    <t>RE1000119</t>
  </si>
  <si>
    <t>(3ヵ月停止)</t>
    <rPh sb="3" eb="4">
      <t>ゲツ</t>
    </rPh>
    <rPh sb="4" eb="6">
      <t>テイシ</t>
    </rPh>
    <phoneticPr fontId="2"/>
  </si>
  <si>
    <t>VCTF 0.75SQ-4C 富士</t>
    <rPh sb="15" eb="17">
      <t>フジ</t>
    </rPh>
    <phoneticPr fontId="2"/>
  </si>
  <si>
    <t>分電盤取付工事</t>
    <rPh sb="0" eb="3">
      <t>ブンデンバン</t>
    </rPh>
    <rPh sb="3" eb="5">
      <t>トリツケ</t>
    </rPh>
    <rPh sb="5" eb="7">
      <t>コウジ</t>
    </rPh>
    <phoneticPr fontId="2"/>
  </si>
  <si>
    <t>RE1000122</t>
  </si>
  <si>
    <t>（4ヵ月停止）</t>
    <rPh sb="3" eb="4">
      <t>ゲツ</t>
    </rPh>
    <phoneticPr fontId="2"/>
  </si>
  <si>
    <t>VCTF 0.75SQ-6C 富士</t>
    <phoneticPr fontId="2"/>
  </si>
  <si>
    <t>制御器取付工事</t>
    <rPh sb="0" eb="3">
      <t>セイギョキ</t>
    </rPh>
    <rPh sb="3" eb="7">
      <t>トリツケコウジ</t>
    </rPh>
    <phoneticPr fontId="2"/>
  </si>
  <si>
    <t>RE1000109</t>
  </si>
  <si>
    <t>ANｱﾄﾞﾊﾞﾝｽﾓﾆﾀﾘﾝｸﾞ機器利用料</t>
    <phoneticPr fontId="2"/>
  </si>
  <si>
    <t>VCTF 0.75SQ-7C 富士</t>
    <phoneticPr fontId="2"/>
  </si>
  <si>
    <t>警報機取付工事</t>
    <rPh sb="0" eb="3">
      <t>ケイホウキ</t>
    </rPh>
    <rPh sb="3" eb="7">
      <t>トリツケコウジ</t>
    </rPh>
    <phoneticPr fontId="2"/>
  </si>
  <si>
    <t>RE1000112</t>
  </si>
  <si>
    <t>VCTF 2.0SQ-2C 富士</t>
    <phoneticPr fontId="2"/>
  </si>
  <si>
    <t>計測器取付工事</t>
    <rPh sb="0" eb="3">
      <t>ケイソクキ</t>
    </rPh>
    <rPh sb="3" eb="7">
      <t>トリツケコウジ</t>
    </rPh>
    <phoneticPr fontId="2"/>
  </si>
  <si>
    <t>RE1000115</t>
  </si>
  <si>
    <t>VCTF 2.0SQ-3C 富士</t>
    <phoneticPr fontId="2"/>
  </si>
  <si>
    <t>避雷針取付工事</t>
    <rPh sb="0" eb="3">
      <t>ヒライシン</t>
    </rPh>
    <rPh sb="3" eb="7">
      <t>トリツケコウジ</t>
    </rPh>
    <phoneticPr fontId="2"/>
  </si>
  <si>
    <t>RE1000118</t>
  </si>
  <si>
    <t>VCTF 2.0SQ-4C 富士</t>
    <phoneticPr fontId="2"/>
  </si>
  <si>
    <t>避雷器取付工事</t>
    <rPh sb="0" eb="3">
      <t>ヒライキ</t>
    </rPh>
    <rPh sb="3" eb="7">
      <t>トリツケコウジ</t>
    </rPh>
    <phoneticPr fontId="2"/>
  </si>
  <si>
    <t>RE1000121</t>
  </si>
  <si>
    <t>VCT 3.5SQ-4C 富士</t>
    <phoneticPr fontId="2"/>
  </si>
  <si>
    <t>ｾﾝｻ取付工事</t>
    <rPh sb="3" eb="7">
      <t>トリツケコウジ</t>
    </rPh>
    <phoneticPr fontId="2"/>
  </si>
  <si>
    <t>RE1000108</t>
  </si>
  <si>
    <t>ANｱﾄﾞﾊﾞﾝｽ警報機器利用料</t>
    <phoneticPr fontId="2"/>
  </si>
  <si>
    <t>VCT 5.5SQ-4C 富士</t>
    <phoneticPr fontId="2"/>
  </si>
  <si>
    <t>同上ｾﾝｻ取付工事</t>
    <rPh sb="0" eb="2">
      <t>ドウジョウ</t>
    </rPh>
    <rPh sb="5" eb="9">
      <t>トリツケコウジ</t>
    </rPh>
    <phoneticPr fontId="2"/>
  </si>
  <si>
    <t>RE1000111</t>
  </si>
  <si>
    <t>VCT 8.0SQ-4C 伸興</t>
    <rPh sb="13" eb="15">
      <t>シンコウ</t>
    </rPh>
    <phoneticPr fontId="2"/>
  </si>
  <si>
    <t>ｱｰｽ工事</t>
    <rPh sb="3" eb="5">
      <t>コウジ</t>
    </rPh>
    <phoneticPr fontId="2"/>
  </si>
  <si>
    <t>RE1000114</t>
  </si>
  <si>
    <t>制御機器試運転調整</t>
    <rPh sb="0" eb="2">
      <t>セイギョ</t>
    </rPh>
    <rPh sb="2" eb="4">
      <t>キキ</t>
    </rPh>
    <rPh sb="4" eb="7">
      <t>シウンテン</t>
    </rPh>
    <rPh sb="7" eb="9">
      <t>チョウセイ</t>
    </rPh>
    <phoneticPr fontId="2"/>
  </si>
  <si>
    <t>RE1000117</t>
  </si>
  <si>
    <t>ｿﾌﾄｲﾝｽﾄｰﾙ･調整</t>
    <rPh sb="10" eb="12">
      <t>チョウセイ</t>
    </rPh>
    <phoneticPr fontId="2"/>
  </si>
  <si>
    <t>RE1000120</t>
  </si>
  <si>
    <t>SGP鋼管</t>
    <rPh sb="3" eb="5">
      <t>コウカン</t>
    </rPh>
    <phoneticPr fontId="2"/>
  </si>
  <si>
    <t>k3</t>
    <phoneticPr fontId="2"/>
  </si>
  <si>
    <t>機械室配管工事費</t>
    <rPh sb="0" eb="3">
      <t>キカイシツナイ</t>
    </rPh>
    <rPh sb="3" eb="8">
      <t>ハイカンコウジヒ</t>
    </rPh>
    <phoneticPr fontId="2"/>
  </si>
  <si>
    <t>機械室配管</t>
    <rPh sb="0" eb="2">
      <t>キカイ</t>
    </rPh>
    <rPh sb="2" eb="3">
      <t>シツ</t>
    </rPh>
    <rPh sb="3" eb="5">
      <t>ハイカン</t>
    </rPh>
    <phoneticPr fontId="2"/>
  </si>
  <si>
    <t>SGP鋼管(白)</t>
    <rPh sb="6" eb="7">
      <t>シロ</t>
    </rPh>
    <phoneticPr fontId="9"/>
  </si>
  <si>
    <t>15A</t>
  </si>
  <si>
    <t>m</t>
  </si>
  <si>
    <t>STK鋼管</t>
    <rPh sb="3" eb="5">
      <t>コウカン</t>
    </rPh>
    <phoneticPr fontId="2"/>
  </si>
  <si>
    <t>40A(Znﾒｯｷ)</t>
    <phoneticPr fontId="2"/>
  </si>
  <si>
    <t>外面被覆鋼管</t>
    <rPh sb="0" eb="2">
      <t>ガイメン</t>
    </rPh>
    <rPh sb="2" eb="4">
      <t>ヒフク</t>
    </rPh>
    <rPh sb="4" eb="6">
      <t>コウカン</t>
    </rPh>
    <phoneticPr fontId="2"/>
  </si>
  <si>
    <t>15A</t>
    <phoneticPr fontId="2"/>
  </si>
  <si>
    <t>m</t>
    <phoneticPr fontId="23"/>
  </si>
  <si>
    <t>ｽﾃﾝﾚｽ管</t>
  </si>
  <si>
    <t>塩ﾋﾞ管</t>
    <rPh sb="0" eb="1">
      <t>エン</t>
    </rPh>
    <rPh sb="3" eb="4">
      <t>カン</t>
    </rPh>
    <phoneticPr fontId="2"/>
  </si>
  <si>
    <t>VP φ13</t>
    <phoneticPr fontId="2"/>
  </si>
  <si>
    <t>硬質ﾎﾟﾘ管</t>
    <rPh sb="0" eb="2">
      <t>コウシツ</t>
    </rPh>
    <rPh sb="5" eb="6">
      <t>カン</t>
    </rPh>
    <phoneticPr fontId="2"/>
  </si>
  <si>
    <t>φ22/19 200m</t>
    <phoneticPr fontId="2"/>
  </si>
  <si>
    <t>ｹﾞｰﾄ弁</t>
    <rPh sb="4" eb="5">
      <t>ベン</t>
    </rPh>
    <phoneticPr fontId="23"/>
  </si>
  <si>
    <t>15A</t>
    <phoneticPr fontId="23"/>
  </si>
  <si>
    <t>個</t>
    <rPh sb="0" eb="1">
      <t>コ</t>
    </rPh>
    <phoneticPr fontId="23"/>
  </si>
  <si>
    <t>ﾁｬｯｷ弁</t>
  </si>
  <si>
    <t>15A(ｽｲﾝｸﾞ)</t>
    <phoneticPr fontId="23"/>
  </si>
  <si>
    <t>ﾊﾞﾀﾌﾗｲ弁</t>
    <rPh sb="6" eb="7">
      <t>ベン</t>
    </rPh>
    <phoneticPr fontId="23"/>
  </si>
  <si>
    <t>50A(ｳｴﾊ)</t>
    <phoneticPr fontId="23"/>
  </si>
  <si>
    <t>ｸﾞﾛｰﾌﾞ弁</t>
    <rPh sb="6" eb="7">
      <t>ベン</t>
    </rPh>
    <phoneticPr fontId="23"/>
  </si>
  <si>
    <t>ﾏﾚｰﾌﾞﾙ弁</t>
    <phoneticPr fontId="2"/>
  </si>
  <si>
    <t>ﾎﾞｰﾙ弁(2方)</t>
  </si>
  <si>
    <t>Yｽﾄﾚｰﾅ</t>
  </si>
  <si>
    <t>電動ﾎﾞｰﾙ弁(2方)</t>
    <rPh sb="0" eb="2">
      <t>デンドウ</t>
    </rPh>
    <rPh sb="6" eb="7">
      <t>ベン</t>
    </rPh>
    <rPh sb="9" eb="10">
      <t>ホウ</t>
    </rPh>
    <phoneticPr fontId="23"/>
  </si>
  <si>
    <t xml:space="preserve">個  </t>
    <phoneticPr fontId="2"/>
  </si>
  <si>
    <t>ﾌﾚｷｼﾞｮｲﾝﾄ(U)</t>
    <phoneticPr fontId="2"/>
  </si>
  <si>
    <t>15A*300L</t>
    <phoneticPr fontId="2"/>
  </si>
  <si>
    <t>本</t>
  </si>
  <si>
    <t>伸縮継手</t>
  </si>
  <si>
    <t>20A(複式)</t>
    <phoneticPr fontId="2"/>
  </si>
  <si>
    <t>個</t>
  </si>
  <si>
    <t xml:space="preserve">減圧弁(蒸気用)    </t>
    <rPh sb="4" eb="6">
      <t>ジョウキ</t>
    </rPh>
    <rPh sb="6" eb="7">
      <t>ヨウ</t>
    </rPh>
    <phoneticPr fontId="2"/>
  </si>
  <si>
    <t>15A RP9-L</t>
  </si>
  <si>
    <t xml:space="preserve">温度計      </t>
  </si>
  <si>
    <t>丸L形 120℃</t>
  </si>
  <si>
    <t>101678000</t>
    <phoneticPr fontId="2"/>
  </si>
  <si>
    <t xml:space="preserve">油配管ｾｯﾄ   </t>
    <phoneticPr fontId="2"/>
  </si>
  <si>
    <t>BOP-CU5M</t>
    <phoneticPr fontId="2"/>
  </si>
  <si>
    <t>保温(ｶﾗｰﾗｯｷﾝｸﾞ)</t>
    <phoneticPr fontId="2"/>
  </si>
  <si>
    <t>ｍ</t>
  </si>
  <si>
    <t>保温(亀甲巻き)</t>
    <rPh sb="0" eb="2">
      <t>ホオン</t>
    </rPh>
    <rPh sb="3" eb="5">
      <t>キッコウ</t>
    </rPh>
    <rPh sb="5" eb="6">
      <t>マ</t>
    </rPh>
    <phoneticPr fontId="2"/>
  </si>
  <si>
    <t xml:space="preserve">ﾗｲﾄｶﾊﾞｰ   </t>
  </si>
  <si>
    <t xml:space="preserve"> ｍ</t>
  </si>
  <si>
    <t>s3</t>
    <phoneticPr fontId="2"/>
  </si>
  <si>
    <t>屋外配管工事費</t>
    <rPh sb="0" eb="2">
      <t>オクガイ</t>
    </rPh>
    <rPh sb="2" eb="4">
      <t>ハイカン</t>
    </rPh>
    <rPh sb="4" eb="7">
      <t>コウジヒ</t>
    </rPh>
    <phoneticPr fontId="2"/>
  </si>
  <si>
    <t>20A</t>
  </si>
  <si>
    <t>50A(Znﾒｯｷ)</t>
    <phoneticPr fontId="2"/>
  </si>
  <si>
    <t>20A</t>
    <phoneticPr fontId="2"/>
  </si>
  <si>
    <t>VP φ16</t>
    <phoneticPr fontId="2"/>
  </si>
  <si>
    <t xml:space="preserve">PE12-13 外径φ21.5 120m  </t>
  </si>
  <si>
    <t>20A</t>
    <phoneticPr fontId="23"/>
  </si>
  <si>
    <t>20A(ｽｲﾝｸﾞ)</t>
    <phoneticPr fontId="23"/>
  </si>
  <si>
    <t>65A(ｳｴﾊ)</t>
    <phoneticPr fontId="23"/>
  </si>
  <si>
    <t>20A*300L</t>
    <phoneticPr fontId="2"/>
  </si>
  <si>
    <t>25A(複式)</t>
    <phoneticPr fontId="2"/>
  </si>
  <si>
    <t xml:space="preserve">減圧弁(蒸気用)    </t>
    <phoneticPr fontId="2"/>
  </si>
  <si>
    <t>20A RP9-L</t>
    <phoneticPr fontId="2"/>
  </si>
  <si>
    <t>丸S形 120℃</t>
    <phoneticPr fontId="2"/>
  </si>
  <si>
    <t>101674000</t>
    <phoneticPr fontId="2"/>
  </si>
  <si>
    <t xml:space="preserve">油配管ｾｯﾄ   </t>
  </si>
  <si>
    <t>BOP-CU10M</t>
    <phoneticPr fontId="2"/>
  </si>
  <si>
    <t xml:space="preserve">保温(ｶﾗｰﾗｯｷﾝｸﾞ) </t>
    <phoneticPr fontId="2"/>
  </si>
  <si>
    <t>保温(亀甲巻き)</t>
    <phoneticPr fontId="2"/>
  </si>
  <si>
    <t>ﾗｲﾆﾝｸﾞ鋼管</t>
    <rPh sb="6" eb="8">
      <t>コウカン</t>
    </rPh>
    <phoneticPr fontId="2"/>
  </si>
  <si>
    <t>aa3</t>
    <phoneticPr fontId="2"/>
  </si>
  <si>
    <t>架空配管工事費</t>
    <rPh sb="0" eb="2">
      <t>カクウ</t>
    </rPh>
    <rPh sb="2" eb="4">
      <t>ハイカン</t>
    </rPh>
    <rPh sb="4" eb="7">
      <t>コウジヒ</t>
    </rPh>
    <phoneticPr fontId="2"/>
  </si>
  <si>
    <t>25A</t>
  </si>
  <si>
    <t>65A(Znﾒｯｷ)</t>
    <phoneticPr fontId="2"/>
  </si>
  <si>
    <t>25A</t>
    <phoneticPr fontId="2"/>
  </si>
  <si>
    <t>VP φ20</t>
    <phoneticPr fontId="2"/>
  </si>
  <si>
    <t xml:space="preserve">PE12-20 外径φ27 120m  </t>
    <phoneticPr fontId="2"/>
  </si>
  <si>
    <t>25A</t>
    <phoneticPr fontId="23"/>
  </si>
  <si>
    <t>25A(ｽｲﾝｸﾞ)</t>
    <phoneticPr fontId="23"/>
  </si>
  <si>
    <t>80A(ｳｴﾊ)</t>
    <phoneticPr fontId="23"/>
  </si>
  <si>
    <t>25A*300L</t>
    <phoneticPr fontId="2"/>
  </si>
  <si>
    <t>32A(複式)</t>
    <phoneticPr fontId="2"/>
  </si>
  <si>
    <t xml:space="preserve">減圧弁(蒸気用)     </t>
    <phoneticPr fontId="2"/>
  </si>
  <si>
    <t>25A RP9-L</t>
    <phoneticPr fontId="2"/>
  </si>
  <si>
    <t>φ80 120℃</t>
    <phoneticPr fontId="2"/>
  </si>
  <si>
    <t>103313000</t>
    <phoneticPr fontId="2"/>
  </si>
  <si>
    <t>BOP-CU20M</t>
    <phoneticPr fontId="2"/>
  </si>
  <si>
    <t>ｽﾃﾝﾚｽ管・継手</t>
    <rPh sb="5" eb="6">
      <t>カン</t>
    </rPh>
    <rPh sb="7" eb="8">
      <t>ツ</t>
    </rPh>
    <rPh sb="8" eb="9">
      <t>テ</t>
    </rPh>
    <phoneticPr fontId="2"/>
  </si>
  <si>
    <t>ai3</t>
    <phoneticPr fontId="2"/>
  </si>
  <si>
    <t>温室内配管工事費</t>
    <rPh sb="0" eb="8">
      <t>オンシツナイハイカンコウジヒ</t>
    </rPh>
    <phoneticPr fontId="2"/>
  </si>
  <si>
    <t>32A</t>
  </si>
  <si>
    <t>80A(Znﾒｯｷ)</t>
    <phoneticPr fontId="2"/>
  </si>
  <si>
    <t>32A</t>
    <phoneticPr fontId="2"/>
  </si>
  <si>
    <t>VP φ25</t>
    <phoneticPr fontId="2"/>
  </si>
  <si>
    <t>PE12-25 外径φ34  90m</t>
    <phoneticPr fontId="2"/>
  </si>
  <si>
    <t>32A</t>
    <phoneticPr fontId="23"/>
  </si>
  <si>
    <t>32A(ｽｲﾝｸﾞ)</t>
    <phoneticPr fontId="23"/>
  </si>
  <si>
    <t>100A(ｳｴﾊ)</t>
    <phoneticPr fontId="23"/>
  </si>
  <si>
    <t>32A*300L</t>
    <phoneticPr fontId="2"/>
  </si>
  <si>
    <t>40A(複式)</t>
    <phoneticPr fontId="2"/>
  </si>
  <si>
    <t>32A RP9-L</t>
    <phoneticPr fontId="2"/>
  </si>
  <si>
    <t xml:space="preserve">水高温度計  </t>
  </si>
  <si>
    <t>φ100 S形</t>
    <phoneticPr fontId="2"/>
  </si>
  <si>
    <t>105296000</t>
    <phoneticPr fontId="2"/>
  </si>
  <si>
    <t>BOP-805M</t>
    <phoneticPr fontId="2"/>
  </si>
  <si>
    <t>塩ﾋﾞ管・耐熱塩ビ管</t>
    <rPh sb="0" eb="1">
      <t>シオ</t>
    </rPh>
    <rPh sb="3" eb="4">
      <t>カン</t>
    </rPh>
    <rPh sb="5" eb="7">
      <t>タイネツ</t>
    </rPh>
    <rPh sb="7" eb="8">
      <t>エン</t>
    </rPh>
    <rPh sb="9" eb="10">
      <t>カン</t>
    </rPh>
    <phoneticPr fontId="2"/>
  </si>
  <si>
    <t>aq3</t>
    <phoneticPr fontId="2"/>
  </si>
  <si>
    <t>排水配管工事費</t>
    <rPh sb="0" eb="4">
      <t>ハイスイハイカン</t>
    </rPh>
    <rPh sb="4" eb="6">
      <t>コウジ</t>
    </rPh>
    <rPh sb="6" eb="7">
      <t>ヒ</t>
    </rPh>
    <phoneticPr fontId="2"/>
  </si>
  <si>
    <t>室内配管</t>
    <rPh sb="0" eb="2">
      <t>シツナイ</t>
    </rPh>
    <rPh sb="2" eb="4">
      <t>ハイカン</t>
    </rPh>
    <phoneticPr fontId="2"/>
  </si>
  <si>
    <t>40A</t>
  </si>
  <si>
    <t>100A(Znﾒｯｷ)</t>
    <phoneticPr fontId="2"/>
  </si>
  <si>
    <t>40A</t>
    <phoneticPr fontId="2"/>
  </si>
  <si>
    <t>VP φ30</t>
    <phoneticPr fontId="2"/>
  </si>
  <si>
    <t xml:space="preserve">PE12-30 外径φ42  90m   </t>
    <rPh sb="8" eb="10">
      <t>ガイケイ</t>
    </rPh>
    <phoneticPr fontId="2"/>
  </si>
  <si>
    <t>40A</t>
    <phoneticPr fontId="23"/>
  </si>
  <si>
    <t>40A(ｽｲﾝｸﾞ)</t>
    <phoneticPr fontId="23"/>
  </si>
  <si>
    <t>125A(ｳｴﾊ)</t>
    <phoneticPr fontId="23"/>
  </si>
  <si>
    <t>40A*300L</t>
    <phoneticPr fontId="2"/>
  </si>
  <si>
    <t>50A(複式)</t>
    <phoneticPr fontId="2"/>
  </si>
  <si>
    <t>40A RP9-L</t>
    <phoneticPr fontId="2"/>
  </si>
  <si>
    <t>φ100 L形</t>
    <phoneticPr fontId="2"/>
  </si>
  <si>
    <t>105297000</t>
    <phoneticPr fontId="2"/>
  </si>
  <si>
    <t>BOP-810M</t>
    <phoneticPr fontId="2"/>
  </si>
  <si>
    <t>ﾎﾟﾘ管・ﾎﾟﾘﾌﾞﾃﾞﾝ管</t>
    <rPh sb="3" eb="4">
      <t>ポリカン</t>
    </rPh>
    <rPh sb="13" eb="14">
      <t>カン</t>
    </rPh>
    <phoneticPr fontId="2"/>
  </si>
  <si>
    <t>ay3</t>
    <phoneticPr fontId="2"/>
  </si>
  <si>
    <t>養液ﾍﾞｯﾄ配管工事費</t>
    <rPh sb="0" eb="1">
      <t>ヨウ</t>
    </rPh>
    <rPh sb="1" eb="2">
      <t>ヨウエキ</t>
    </rPh>
    <rPh sb="6" eb="11">
      <t>ハイカンコウジヒ</t>
    </rPh>
    <phoneticPr fontId="2"/>
  </si>
  <si>
    <t>50A</t>
  </si>
  <si>
    <t>125A(Znﾒｯｷ)</t>
    <phoneticPr fontId="2"/>
  </si>
  <si>
    <t>50A</t>
    <phoneticPr fontId="2"/>
  </si>
  <si>
    <t>VP φ40</t>
    <phoneticPr fontId="2"/>
  </si>
  <si>
    <t>50A</t>
    <phoneticPr fontId="23"/>
  </si>
  <si>
    <t>50A(ｽｲﾝｸﾞ)</t>
    <phoneticPr fontId="23"/>
  </si>
  <si>
    <t>150A(ｳｴﾊ)</t>
    <phoneticPr fontId="23"/>
  </si>
  <si>
    <t>50A*300L</t>
    <phoneticPr fontId="2"/>
  </si>
  <si>
    <t>65A(複式)</t>
    <phoneticPr fontId="2"/>
  </si>
  <si>
    <t>50A RP9-L</t>
    <phoneticPr fontId="2"/>
  </si>
  <si>
    <t xml:space="preserve">圧力計      </t>
  </si>
  <si>
    <t>φ100 10m</t>
    <phoneticPr fontId="2"/>
  </si>
  <si>
    <t>046602000</t>
    <phoneticPr fontId="2"/>
  </si>
  <si>
    <t>逃し管ｾｯﾄ</t>
    <rPh sb="0" eb="1">
      <t>ニガ</t>
    </rPh>
    <rPh sb="2" eb="3">
      <t>クダ</t>
    </rPh>
    <phoneticPr fontId="2"/>
  </si>
  <si>
    <t>BOP-EP8M</t>
    <phoneticPr fontId="2"/>
  </si>
  <si>
    <t>ｹﾞｰﾄ弁</t>
    <rPh sb="4" eb="5">
      <t>ベン</t>
    </rPh>
    <phoneticPr fontId="2"/>
  </si>
  <si>
    <t>bg3</t>
    <phoneticPr fontId="2"/>
  </si>
  <si>
    <t>養液ﾀﾝｸ内配管工事費</t>
    <rPh sb="0" eb="2">
      <t>ヨウエキ</t>
    </rPh>
    <rPh sb="5" eb="6">
      <t>ナイ</t>
    </rPh>
    <rPh sb="6" eb="11">
      <t>ハイカンコウジヒ</t>
    </rPh>
    <phoneticPr fontId="2"/>
  </si>
  <si>
    <t>65A</t>
  </si>
  <si>
    <t>150A(Znﾒｯｷ)</t>
    <phoneticPr fontId="2"/>
  </si>
  <si>
    <t>65A</t>
    <phoneticPr fontId="2"/>
  </si>
  <si>
    <t>VP φ50</t>
    <phoneticPr fontId="2"/>
  </si>
  <si>
    <t>ﾎﾟﾘｼﾞｮｲﾝﾄ</t>
    <phoneticPr fontId="2"/>
  </si>
  <si>
    <t xml:space="preserve">φ13    </t>
    <phoneticPr fontId="2"/>
  </si>
  <si>
    <t>200A(ｳｴﾊ)</t>
    <phoneticPr fontId="23"/>
  </si>
  <si>
    <t>ﾌﾚｷｼﾞｮｲﾝﾄ(F)</t>
    <phoneticPr fontId="2"/>
  </si>
  <si>
    <t>65A*300L</t>
    <phoneticPr fontId="2"/>
  </si>
  <si>
    <t>80A(複式)</t>
    <phoneticPr fontId="2"/>
  </si>
  <si>
    <t>65A RP9-L</t>
    <phoneticPr fontId="2"/>
  </si>
  <si>
    <t>φ100</t>
    <phoneticPr fontId="2"/>
  </si>
  <si>
    <t>181612000</t>
    <phoneticPr fontId="2"/>
  </si>
  <si>
    <t>ﾌﾚｷｼﾌﾞﾙﾎｰｽ</t>
    <phoneticPr fontId="2"/>
  </si>
  <si>
    <t>3/8B×1500 SUS</t>
    <phoneticPr fontId="2"/>
  </si>
  <si>
    <t>ﾁｬｯｷ弁</t>
    <rPh sb="4" eb="5">
      <t>ベン</t>
    </rPh>
    <phoneticPr fontId="2"/>
  </si>
  <si>
    <t>bo3</t>
    <phoneticPr fontId="2"/>
  </si>
  <si>
    <t>ﾍﾞｯﾄ放熱管敷設工事費</t>
    <rPh sb="4" eb="7">
      <t>ホウネツカン</t>
    </rPh>
    <rPh sb="7" eb="12">
      <t>フセツコウジヒ</t>
    </rPh>
    <phoneticPr fontId="2"/>
  </si>
  <si>
    <t>80A</t>
  </si>
  <si>
    <t>200A(Znﾒｯｷ)</t>
    <phoneticPr fontId="2"/>
  </si>
  <si>
    <t>80A</t>
    <phoneticPr fontId="2"/>
  </si>
  <si>
    <t>ｽﾃﾝﾚｽ ｴﾙﾎﾞ</t>
  </si>
  <si>
    <t>VP φ65</t>
    <phoneticPr fontId="2"/>
  </si>
  <si>
    <t xml:space="preserve">φ20   </t>
    <phoneticPr fontId="2"/>
  </si>
  <si>
    <t>50A(ﾌﾗﾝｼﾞ)</t>
    <phoneticPr fontId="23"/>
  </si>
  <si>
    <t xml:space="preserve">50A(ｳｴﾊ)       </t>
    <phoneticPr fontId="2"/>
  </si>
  <si>
    <t>250A(ｳｴﾊ)</t>
    <phoneticPr fontId="23"/>
  </si>
  <si>
    <t>50A(ﾌﾗﾝｼﾞ)</t>
    <phoneticPr fontId="2"/>
  </si>
  <si>
    <t>電動ﾎﾞｰﾙ弁(3方)</t>
    <rPh sb="0" eb="2">
      <t>デンドウ</t>
    </rPh>
    <rPh sb="6" eb="7">
      <t>ベン</t>
    </rPh>
    <rPh sb="9" eb="10">
      <t>ホウ</t>
    </rPh>
    <phoneticPr fontId="23"/>
  </si>
  <si>
    <t>80A*300L</t>
    <phoneticPr fontId="2"/>
  </si>
  <si>
    <t>100A(複式)</t>
    <phoneticPr fontId="2"/>
  </si>
  <si>
    <t>80A RP9-L</t>
    <phoneticPr fontId="2"/>
  </si>
  <si>
    <t xml:space="preserve">ｻｲﾎﾝﾊﾟｲﾌﾟ   </t>
  </si>
  <si>
    <t>注油口</t>
    <rPh sb="0" eb="2">
      <t>チュウユ</t>
    </rPh>
    <rPh sb="2" eb="3">
      <t>クチ</t>
    </rPh>
    <phoneticPr fontId="2"/>
  </si>
  <si>
    <t>ﾊﾞﾀﾌﾗｲ弁</t>
    <rPh sb="6" eb="7">
      <t>ベン</t>
    </rPh>
    <phoneticPr fontId="2"/>
  </si>
  <si>
    <t>bw3</t>
    <phoneticPr fontId="2"/>
  </si>
  <si>
    <t>冷媒配管工事費</t>
    <rPh sb="0" eb="4">
      <t>レイバイハイカン</t>
    </rPh>
    <rPh sb="4" eb="7">
      <t>コウジヒ</t>
    </rPh>
    <phoneticPr fontId="2"/>
  </si>
  <si>
    <t>屋外配管</t>
    <rPh sb="0" eb="2">
      <t>オクガイ</t>
    </rPh>
    <rPh sb="2" eb="4">
      <t>ハイカン</t>
    </rPh>
    <phoneticPr fontId="2"/>
  </si>
  <si>
    <t>100A</t>
    <phoneticPr fontId="2"/>
  </si>
  <si>
    <t>250A(Znﾒｯｷ)</t>
    <phoneticPr fontId="2"/>
  </si>
  <si>
    <t>VP φ75</t>
    <phoneticPr fontId="2"/>
  </si>
  <si>
    <t xml:space="preserve">φ25    </t>
    <phoneticPr fontId="2"/>
  </si>
  <si>
    <t>65A(ﾌﾗﾝｼﾞ)</t>
    <phoneticPr fontId="23"/>
  </si>
  <si>
    <t>65A(ｳｴﾊ)</t>
    <phoneticPr fontId="2"/>
  </si>
  <si>
    <t>300A(ｳｴﾊ)</t>
    <phoneticPr fontId="23"/>
  </si>
  <si>
    <t>65A(ﾌﾗﾝｼﾞ)</t>
    <phoneticPr fontId="2"/>
  </si>
  <si>
    <t>100A*300L</t>
    <phoneticPr fontId="2"/>
  </si>
  <si>
    <t>125A(複式)</t>
    <phoneticPr fontId="2"/>
  </si>
  <si>
    <t>100A RP9-L</t>
    <phoneticPr fontId="2"/>
  </si>
  <si>
    <t>空気抜弁</t>
    <phoneticPr fontId="2"/>
  </si>
  <si>
    <t>15A(AF-4M)</t>
    <phoneticPr fontId="2"/>
  </si>
  <si>
    <t>ｸﾞﾛｰﾌﾞ弁</t>
    <rPh sb="6" eb="7">
      <t>ベン</t>
    </rPh>
    <phoneticPr fontId="2"/>
  </si>
  <si>
    <t>ce3</t>
    <phoneticPr fontId="2"/>
  </si>
  <si>
    <t>配管継手類</t>
    <rPh sb="0" eb="2">
      <t>ハイカン</t>
    </rPh>
    <rPh sb="2" eb="3">
      <t>ツギ</t>
    </rPh>
    <rPh sb="3" eb="4">
      <t>テ</t>
    </rPh>
    <rPh sb="4" eb="5">
      <t>ルイ</t>
    </rPh>
    <phoneticPr fontId="2"/>
  </si>
  <si>
    <t>SGP鋼管</t>
    <phoneticPr fontId="9"/>
  </si>
  <si>
    <t>125A</t>
  </si>
  <si>
    <t>300A(Znﾒｯｷ)</t>
    <phoneticPr fontId="2"/>
  </si>
  <si>
    <t>VP φ100</t>
    <phoneticPr fontId="2"/>
  </si>
  <si>
    <t xml:space="preserve">φ30    </t>
    <phoneticPr fontId="2"/>
  </si>
  <si>
    <t>80A(ﾌﾗﾝｼﾞ)</t>
    <phoneticPr fontId="23"/>
  </si>
  <si>
    <t>80A(ｳｴﾊ)</t>
    <phoneticPr fontId="2"/>
  </si>
  <si>
    <t>80A(ﾌﾗﾝｼﾞ)</t>
    <phoneticPr fontId="2"/>
  </si>
  <si>
    <t>125A*300L</t>
    <phoneticPr fontId="2"/>
  </si>
  <si>
    <t>150A(複式)</t>
    <phoneticPr fontId="2"/>
  </si>
  <si>
    <t>温度調節弁</t>
  </si>
  <si>
    <t>25A TD-2</t>
    <phoneticPr fontId="2"/>
  </si>
  <si>
    <t>空気抜弁(逆止弁付）</t>
    <rPh sb="5" eb="6">
      <t>ギャク</t>
    </rPh>
    <rPh sb="6" eb="7">
      <t>ト</t>
    </rPh>
    <rPh sb="7" eb="8">
      <t>ベン</t>
    </rPh>
    <rPh sb="8" eb="9">
      <t>ツキ</t>
    </rPh>
    <phoneticPr fontId="2"/>
  </si>
  <si>
    <t>15A(AF-9H)</t>
    <phoneticPr fontId="2"/>
  </si>
  <si>
    <t xml:space="preserve">ｷﾞﾔﾎﾟﾝﾌﾟ  </t>
  </si>
  <si>
    <t>φ12 0.2 kw</t>
    <phoneticPr fontId="2"/>
  </si>
  <si>
    <t>125A</t>
    <phoneticPr fontId="2"/>
  </si>
  <si>
    <t>ﾏﾚｰﾌﾞﾙ弁</t>
    <rPh sb="6" eb="7">
      <t>ベン</t>
    </rPh>
    <phoneticPr fontId="2"/>
  </si>
  <si>
    <t>cm3</t>
    <phoneticPr fontId="2"/>
  </si>
  <si>
    <t>配管工事費</t>
    <rPh sb="0" eb="5">
      <t>ハイカンコウジヒ</t>
    </rPh>
    <phoneticPr fontId="2"/>
  </si>
  <si>
    <t>150A</t>
  </si>
  <si>
    <t>VP φ125</t>
    <phoneticPr fontId="2"/>
  </si>
  <si>
    <t>100A(ﾌﾗﾝｼﾞ)</t>
    <phoneticPr fontId="23"/>
  </si>
  <si>
    <t>100A(ｳｴﾊ)</t>
    <phoneticPr fontId="2"/>
  </si>
  <si>
    <t>100A(ﾌﾗﾝｼﾞ)</t>
    <phoneticPr fontId="2"/>
  </si>
  <si>
    <t>ﾎﾞｰﾙ弁(3方)</t>
  </si>
  <si>
    <t>150A*300L</t>
    <phoneticPr fontId="2"/>
  </si>
  <si>
    <t>200A(複式)</t>
    <phoneticPr fontId="2"/>
  </si>
  <si>
    <t>32A TD-2</t>
    <phoneticPr fontId="2"/>
  </si>
  <si>
    <t>15A(AF-10H)</t>
    <phoneticPr fontId="2"/>
  </si>
  <si>
    <t>φ12 0.4 kw</t>
    <phoneticPr fontId="2"/>
  </si>
  <si>
    <t>150A</t>
    <phoneticPr fontId="2"/>
  </si>
  <si>
    <t>ﾎﾞｰﾙ弁</t>
    <rPh sb="4" eb="5">
      <t>ベン</t>
    </rPh>
    <phoneticPr fontId="2"/>
  </si>
  <si>
    <t>cu3</t>
    <phoneticPr fontId="2"/>
  </si>
  <si>
    <t>配管支持具</t>
    <rPh sb="0" eb="5">
      <t>ハイカンシジグ</t>
    </rPh>
    <phoneticPr fontId="2"/>
  </si>
  <si>
    <t>200A</t>
  </si>
  <si>
    <t>STK鋼管(5.5m)</t>
    <rPh sb="3" eb="5">
      <t>コウカン</t>
    </rPh>
    <phoneticPr fontId="2"/>
  </si>
  <si>
    <t>本</t>
    <rPh sb="0" eb="1">
      <t>ホン</t>
    </rPh>
    <phoneticPr fontId="9"/>
  </si>
  <si>
    <t>VP φ150</t>
    <phoneticPr fontId="2"/>
  </si>
  <si>
    <t>ﾎﾟﾘ管用ｿｹｯﾄ</t>
    <rPh sb="3" eb="4">
      <t>カン</t>
    </rPh>
    <rPh sb="4" eb="5">
      <t>ヨウ</t>
    </rPh>
    <phoneticPr fontId="2"/>
  </si>
  <si>
    <t>13S</t>
    <phoneticPr fontId="2"/>
  </si>
  <si>
    <t>125A(ﾌﾗﾝｼﾞ)</t>
    <phoneticPr fontId="23"/>
  </si>
  <si>
    <t>125A(ｳｴﾊ)</t>
    <phoneticPr fontId="2"/>
  </si>
  <si>
    <t>125A(ﾌﾗﾝｼﾞ)</t>
    <phoneticPr fontId="2"/>
  </si>
  <si>
    <t>200A*300L</t>
    <phoneticPr fontId="2"/>
  </si>
  <si>
    <t>250A(複式)</t>
    <phoneticPr fontId="2"/>
  </si>
  <si>
    <t>40A TD-2</t>
    <phoneticPr fontId="2"/>
  </si>
  <si>
    <t>15A(小型)</t>
    <rPh sb="4" eb="6">
      <t>コガタ</t>
    </rPh>
    <phoneticPr fontId="2"/>
  </si>
  <si>
    <t>φ15 0.4 kw</t>
    <phoneticPr fontId="2"/>
  </si>
  <si>
    <t>200A</t>
    <phoneticPr fontId="2"/>
  </si>
  <si>
    <t>ﾊﾟｲﾌﾟｶﾞｰﾄﾞ</t>
  </si>
  <si>
    <t>ｽﾄﾚｰﾅ</t>
    <phoneticPr fontId="2"/>
  </si>
  <si>
    <t>ｄｃ3</t>
    <phoneticPr fontId="2"/>
  </si>
  <si>
    <t>ｴﾛﾌｨﾝ工事</t>
    <rPh sb="5" eb="7">
      <t>コウジ</t>
    </rPh>
    <phoneticPr fontId="2"/>
  </si>
  <si>
    <t>250A</t>
  </si>
  <si>
    <t>20S</t>
    <phoneticPr fontId="2"/>
  </si>
  <si>
    <t>150A(ﾌﾗﾝｼﾞ)</t>
    <phoneticPr fontId="23"/>
  </si>
  <si>
    <t>150A(ｳｴﾊ)</t>
    <phoneticPr fontId="2"/>
  </si>
  <si>
    <t>150A(ﾌﾗﾝｼﾞ)</t>
    <phoneticPr fontId="2"/>
  </si>
  <si>
    <t>50A TD-2</t>
    <phoneticPr fontId="2"/>
  </si>
  <si>
    <t>φ15 0.75kw</t>
    <phoneticPr fontId="2"/>
  </si>
  <si>
    <t>250A</t>
    <phoneticPr fontId="2"/>
  </si>
  <si>
    <t>電動弁･混合三方弁</t>
    <rPh sb="0" eb="2">
      <t>デンドウ</t>
    </rPh>
    <rPh sb="2" eb="3">
      <t>ベン</t>
    </rPh>
    <rPh sb="4" eb="6">
      <t>コンゴウ</t>
    </rPh>
    <rPh sb="6" eb="8">
      <t>サンポウ</t>
    </rPh>
    <rPh sb="8" eb="9">
      <t>ベン</t>
    </rPh>
    <phoneticPr fontId="2"/>
  </si>
  <si>
    <t>dk3</t>
    <phoneticPr fontId="2"/>
  </si>
  <si>
    <t>----------------</t>
    <phoneticPr fontId="2"/>
  </si>
  <si>
    <t>300A</t>
  </si>
  <si>
    <t>VU φ40</t>
    <phoneticPr fontId="2"/>
  </si>
  <si>
    <t>25S</t>
    <phoneticPr fontId="2"/>
  </si>
  <si>
    <t>200A(ﾌﾗﾝｼﾞ)</t>
    <phoneticPr fontId="23"/>
  </si>
  <si>
    <t>200A(ｳｴﾊ)</t>
    <phoneticPr fontId="2"/>
  </si>
  <si>
    <t>200A(ﾌﾗﾝｼﾞ)</t>
    <phoneticPr fontId="2"/>
  </si>
  <si>
    <t>15A*500L</t>
    <phoneticPr fontId="2"/>
  </si>
  <si>
    <t>ﾒｶﾆｶﾙ配管接手</t>
    <rPh sb="5" eb="7">
      <t>ハイカン</t>
    </rPh>
    <rPh sb="7" eb="9">
      <t>ツギテ</t>
    </rPh>
    <phoneticPr fontId="2"/>
  </si>
  <si>
    <t>ｿｹｯﾄ 15Ａ</t>
    <phoneticPr fontId="2"/>
  </si>
  <si>
    <t>65A TD-2</t>
    <phoneticPr fontId="2"/>
  </si>
  <si>
    <t>φ20 0.75kw</t>
    <phoneticPr fontId="2"/>
  </si>
  <si>
    <t>300A</t>
    <phoneticPr fontId="2"/>
  </si>
  <si>
    <t>ﾌﾚｷｼﾞｮｲﾝﾄ</t>
    <phoneticPr fontId="2"/>
  </si>
  <si>
    <t>ds3</t>
    <phoneticPr fontId="2"/>
  </si>
  <si>
    <t>ｴﾛﾌｨﾝ取付工事費</t>
    <rPh sb="0" eb="10">
      <t>エロフィンコウジヒ</t>
    </rPh>
    <phoneticPr fontId="2"/>
  </si>
  <si>
    <t>ｽﾃﾝﾚｽ ﾁ-ｽﾞ</t>
  </si>
  <si>
    <t>VU φ50</t>
    <phoneticPr fontId="2"/>
  </si>
  <si>
    <t>30S</t>
    <phoneticPr fontId="2"/>
  </si>
  <si>
    <t>250A(ｳｴﾊ)</t>
    <phoneticPr fontId="2"/>
  </si>
  <si>
    <t>電動ﾊﾞﾀﾌﾗｲ弁</t>
    <rPh sb="0" eb="2">
      <t>デンドウ</t>
    </rPh>
    <rPh sb="8" eb="9">
      <t>ベン</t>
    </rPh>
    <phoneticPr fontId="2"/>
  </si>
  <si>
    <t>20A*500L</t>
    <phoneticPr fontId="2"/>
  </si>
  <si>
    <t>ｿｹｯﾄ 20Ａ</t>
    <phoneticPr fontId="2"/>
  </si>
  <si>
    <t>80A TD-2</t>
    <phoneticPr fontId="2"/>
  </si>
  <si>
    <t>φ20 1.5 kw</t>
    <phoneticPr fontId="2"/>
  </si>
  <si>
    <t>伸縮継手・ﾊｲﾊﾟｰﾛｯｸ</t>
    <rPh sb="0" eb="4">
      <t>シンシュクツギテ</t>
    </rPh>
    <phoneticPr fontId="2"/>
  </si>
  <si>
    <t>ea3</t>
    <phoneticPr fontId="2"/>
  </si>
  <si>
    <t>ｽﾃﾝﾚｽ ﾁｰｽﾞ</t>
  </si>
  <si>
    <t>VU φ65</t>
    <phoneticPr fontId="2"/>
  </si>
  <si>
    <t>15A(FH)</t>
    <phoneticPr fontId="23"/>
  </si>
  <si>
    <t>300A(ｳｴﾊ)</t>
    <phoneticPr fontId="2"/>
  </si>
  <si>
    <t>25A*500L</t>
    <phoneticPr fontId="2"/>
  </si>
  <si>
    <t>ｿｹｯﾄ 25Ａ</t>
    <phoneticPr fontId="2"/>
  </si>
  <si>
    <t>100A TD-2</t>
    <phoneticPr fontId="2"/>
  </si>
  <si>
    <t>保温(ｽﾃﾝﾗｯｷﾝｸﾞ)</t>
    <phoneticPr fontId="2"/>
  </si>
  <si>
    <t>煙道保温工事</t>
  </si>
  <si>
    <t>ﾛｯｸｳｰﾙ</t>
    <phoneticPr fontId="2"/>
  </si>
  <si>
    <t xml:space="preserve"> ㎡</t>
    <phoneticPr fontId="2"/>
  </si>
  <si>
    <t>蒸気関連・落水防止弁</t>
    <rPh sb="0" eb="2">
      <t>ジョウキ</t>
    </rPh>
    <rPh sb="2" eb="4">
      <t>カンレン</t>
    </rPh>
    <rPh sb="5" eb="7">
      <t>ラクスイ</t>
    </rPh>
    <rPh sb="7" eb="9">
      <t>ボウシ</t>
    </rPh>
    <rPh sb="9" eb="10">
      <t>ベン</t>
    </rPh>
    <phoneticPr fontId="2"/>
  </si>
  <si>
    <t>ei3</t>
    <phoneticPr fontId="2"/>
  </si>
  <si>
    <t>VU φ75</t>
    <phoneticPr fontId="2"/>
  </si>
  <si>
    <t>ﾎﾟﾘ管用ｴﾙﾎﾞ</t>
    <rPh sb="3" eb="4">
      <t>カン</t>
    </rPh>
    <rPh sb="4" eb="5">
      <t>ヨウ</t>
    </rPh>
    <phoneticPr fontId="2"/>
  </si>
  <si>
    <t>13L</t>
    <phoneticPr fontId="2"/>
  </si>
  <si>
    <t>20A(FH)</t>
    <phoneticPr fontId="23"/>
  </si>
  <si>
    <t>250A(ﾌﾗﾝｼﾞ)</t>
    <phoneticPr fontId="2"/>
  </si>
  <si>
    <t>32A*500L</t>
    <phoneticPr fontId="2"/>
  </si>
  <si>
    <t>ｿｹｯﾄ 32Ａ</t>
    <phoneticPr fontId="2"/>
  </si>
  <si>
    <t xml:space="preserve">管末ﾄﾗｯﾌﾟ </t>
  </si>
  <si>
    <t>15A AK-1H</t>
    <phoneticPr fontId="2"/>
  </si>
  <si>
    <t>ﾀﾝｸ保温工事</t>
    <phoneticPr fontId="2"/>
  </si>
  <si>
    <t>ｸﾞﾗｽﾛﾝ</t>
    <phoneticPr fontId="2"/>
  </si>
  <si>
    <t>温度・圧力計・空気抜弁</t>
    <rPh sb="0" eb="2">
      <t>オンドケイ</t>
    </rPh>
    <rPh sb="3" eb="6">
      <t>アツリョクケイ</t>
    </rPh>
    <rPh sb="7" eb="9">
      <t>クウキ</t>
    </rPh>
    <rPh sb="9" eb="10">
      <t>ヌ</t>
    </rPh>
    <rPh sb="10" eb="11">
      <t>ベン</t>
    </rPh>
    <phoneticPr fontId="2"/>
  </si>
  <si>
    <t>eq3</t>
    <phoneticPr fontId="2"/>
  </si>
  <si>
    <t>VU φ100</t>
    <phoneticPr fontId="2"/>
  </si>
  <si>
    <t>20L</t>
    <phoneticPr fontId="2"/>
  </si>
  <si>
    <t>25A(FH)</t>
    <phoneticPr fontId="23"/>
  </si>
  <si>
    <t>300A(ﾌﾗﾝｼﾞ)</t>
    <phoneticPr fontId="2"/>
  </si>
  <si>
    <t>40A*500L</t>
    <phoneticPr fontId="2"/>
  </si>
  <si>
    <t>ｿｹｯﾄ 40Ａ</t>
    <phoneticPr fontId="2"/>
  </si>
  <si>
    <t>20A AK-1H</t>
    <phoneticPr fontId="2"/>
  </si>
  <si>
    <t>同上保温工事</t>
  </si>
  <si>
    <t>油配管部材・ｷﾞﾔﾎﾟﾝﾌﾟ</t>
    <rPh sb="0" eb="1">
      <t>アブラ</t>
    </rPh>
    <rPh sb="1" eb="3">
      <t>ハイカン</t>
    </rPh>
    <rPh sb="3" eb="5">
      <t>ブザイ</t>
    </rPh>
    <phoneticPr fontId="2"/>
  </si>
  <si>
    <t>ey3</t>
    <phoneticPr fontId="2"/>
  </si>
  <si>
    <t>VU φ125</t>
    <phoneticPr fontId="2"/>
  </si>
  <si>
    <t>25L</t>
    <phoneticPr fontId="2"/>
  </si>
  <si>
    <t>32A(FH)</t>
    <phoneticPr fontId="23"/>
  </si>
  <si>
    <t>50A*500L</t>
    <phoneticPr fontId="2"/>
  </si>
  <si>
    <t>ｿｹｯﾄ 50Ａ</t>
    <phoneticPr fontId="2"/>
  </si>
  <si>
    <t>25A AK-1H</t>
    <phoneticPr fontId="2"/>
  </si>
  <si>
    <t>配管保温(材工)</t>
    <rPh sb="0" eb="2">
      <t>ハイカン</t>
    </rPh>
    <rPh sb="2" eb="4">
      <t>ホオン</t>
    </rPh>
    <rPh sb="5" eb="6">
      <t>ザイ</t>
    </rPh>
    <rPh sb="6" eb="7">
      <t>コウ</t>
    </rPh>
    <phoneticPr fontId="2"/>
  </si>
  <si>
    <t>fg3</t>
    <phoneticPr fontId="2"/>
  </si>
  <si>
    <t>VU φ150</t>
    <phoneticPr fontId="2"/>
  </si>
  <si>
    <t>30L</t>
    <phoneticPr fontId="2"/>
  </si>
  <si>
    <t>40A(FH)</t>
    <phoneticPr fontId="23"/>
  </si>
  <si>
    <t>ﾎﾞｰﾙ弁(ｱﾝｸﾞﾙ)</t>
    <rPh sb="4" eb="5">
      <t>ベン</t>
    </rPh>
    <phoneticPr fontId="23"/>
  </si>
  <si>
    <t>ｵｲﾙｽﾄﾚｰﾅ(複式)</t>
    <phoneticPr fontId="23"/>
  </si>
  <si>
    <t>20A(ﾌﾗﾝｼﾞ)</t>
    <phoneticPr fontId="23"/>
  </si>
  <si>
    <t>65A*500L</t>
    <phoneticPr fontId="2"/>
  </si>
  <si>
    <t>ｿｹｯﾄ 65Ａ</t>
    <phoneticPr fontId="2"/>
  </si>
  <si>
    <t xml:space="preserve">多量ﾄﾗｯﾌﾟ </t>
  </si>
  <si>
    <t>20A AF-11H</t>
    <phoneticPr fontId="2"/>
  </si>
  <si>
    <t>配管亀甲保温(材工)</t>
    <rPh sb="0" eb="2">
      <t>ハイカン</t>
    </rPh>
    <rPh sb="2" eb="4">
      <t>キッコウ</t>
    </rPh>
    <rPh sb="4" eb="6">
      <t>ホオン</t>
    </rPh>
    <rPh sb="7" eb="8">
      <t>ザイ</t>
    </rPh>
    <rPh sb="8" eb="9">
      <t>コウ</t>
    </rPh>
    <phoneticPr fontId="2"/>
  </si>
  <si>
    <t>fo3</t>
    <phoneticPr fontId="2"/>
  </si>
  <si>
    <t>機器回り配管工事費</t>
    <rPh sb="0" eb="2">
      <t>キキ</t>
    </rPh>
    <rPh sb="2" eb="3">
      <t>マワ</t>
    </rPh>
    <rPh sb="4" eb="9">
      <t>ハイカンコウジヒ</t>
    </rPh>
    <phoneticPr fontId="2"/>
  </si>
  <si>
    <t>VU φ200</t>
    <phoneticPr fontId="2"/>
  </si>
  <si>
    <t>50A(FH)</t>
    <phoneticPr fontId="23"/>
  </si>
  <si>
    <t>25A(ﾌﾗﾝｼﾞ)</t>
    <phoneticPr fontId="23"/>
  </si>
  <si>
    <t>80A*500L</t>
    <phoneticPr fontId="2"/>
  </si>
  <si>
    <t>ｿｹｯﾄ 80Ａ</t>
    <phoneticPr fontId="2"/>
  </si>
  <si>
    <t>25A AF-11H</t>
    <phoneticPr fontId="2"/>
  </si>
  <si>
    <t>ﾊﾟｲﾌﾟｶﾞｰﾄﾞ･その他</t>
    <rPh sb="11" eb="14">
      <t>ソノタ</t>
    </rPh>
    <phoneticPr fontId="2"/>
  </si>
  <si>
    <t>fw3</t>
    <phoneticPr fontId="2"/>
  </si>
  <si>
    <t>保温工事費</t>
    <rPh sb="0" eb="2">
      <t>ホオン</t>
    </rPh>
    <rPh sb="2" eb="5">
      <t>コウジヒ</t>
    </rPh>
    <phoneticPr fontId="2"/>
  </si>
  <si>
    <t>ｽﾃﾝﾚｽ ﾕﾆｵﾝ</t>
    <phoneticPr fontId="2"/>
  </si>
  <si>
    <t>VU φ250</t>
    <phoneticPr fontId="2"/>
  </si>
  <si>
    <t>ﾎﾟﾘ管用ﾁｰｽﾞ</t>
    <rPh sb="3" eb="4">
      <t>カン</t>
    </rPh>
    <rPh sb="4" eb="5">
      <t>ヨウ</t>
    </rPh>
    <phoneticPr fontId="2"/>
  </si>
  <si>
    <t>65A(FH)</t>
    <phoneticPr fontId="23"/>
  </si>
  <si>
    <t>32A(ﾌﾗﾝｼﾞ)</t>
    <phoneticPr fontId="23"/>
  </si>
  <si>
    <t>100A*500L</t>
  </si>
  <si>
    <t>ｴﾙﾎﾞ 15Ａ</t>
    <phoneticPr fontId="2"/>
  </si>
  <si>
    <t>32A AF-11H</t>
    <phoneticPr fontId="2"/>
  </si>
  <si>
    <t>保温工事費(材工共)</t>
    <rPh sb="0" eb="2">
      <t>ホオン</t>
    </rPh>
    <rPh sb="2" eb="5">
      <t>コウジヒ</t>
    </rPh>
    <rPh sb="6" eb="7">
      <t>ザイ</t>
    </rPh>
    <rPh sb="7" eb="8">
      <t>コウ</t>
    </rPh>
    <rPh sb="8" eb="9">
      <t>トモ</t>
    </rPh>
    <phoneticPr fontId="2"/>
  </si>
  <si>
    <t>VU φ300</t>
    <phoneticPr fontId="2"/>
  </si>
  <si>
    <t>80A(FH)</t>
    <phoneticPr fontId="23"/>
  </si>
  <si>
    <t>ﾎﾞｰﾙ弁(2方)</t>
    <rPh sb="4" eb="5">
      <t>ベン</t>
    </rPh>
    <rPh sb="7" eb="8">
      <t>ホウ</t>
    </rPh>
    <phoneticPr fontId="23"/>
  </si>
  <si>
    <t>15A(G-FF)</t>
    <phoneticPr fontId="23"/>
  </si>
  <si>
    <t>40A(ﾌﾗﾝｼﾞ)</t>
    <phoneticPr fontId="23"/>
  </si>
  <si>
    <t>電動混合三方弁(ﾎﾞｰﾙ)</t>
  </si>
  <si>
    <t>125A*500L</t>
  </si>
  <si>
    <t>ｴﾙﾎﾞ 20Ａ</t>
    <phoneticPr fontId="2"/>
  </si>
  <si>
    <t>40A AF-11H</t>
    <phoneticPr fontId="2"/>
  </si>
  <si>
    <t>埋設配管保温工事費</t>
    <rPh sb="0" eb="4">
      <t>マイセツハイカン</t>
    </rPh>
    <rPh sb="4" eb="8">
      <t>ホオンコウジ</t>
    </rPh>
    <rPh sb="8" eb="9">
      <t>ヒヨウ</t>
    </rPh>
    <phoneticPr fontId="2"/>
  </si>
  <si>
    <t>VU φ350</t>
    <phoneticPr fontId="2"/>
  </si>
  <si>
    <t>20A(G-FF)</t>
    <phoneticPr fontId="23"/>
  </si>
  <si>
    <t>電動混合三方弁(ﾌﾗﾝｼﾞ)</t>
  </si>
  <si>
    <t>150A*500L</t>
  </si>
  <si>
    <t>ｴﾙﾎﾞ 25Ａ</t>
    <phoneticPr fontId="2"/>
  </si>
  <si>
    <t>50A AF-11H</t>
    <phoneticPr fontId="2"/>
  </si>
  <si>
    <t>埋設配管防蝕工事費</t>
    <rPh sb="0" eb="4">
      <t>マイセツハイカン</t>
    </rPh>
    <rPh sb="4" eb="5">
      <t>ボウ</t>
    </rPh>
    <rPh sb="5" eb="6">
      <t>ショク</t>
    </rPh>
    <rPh sb="6" eb="8">
      <t>ホオンコウジ</t>
    </rPh>
    <rPh sb="8" eb="9">
      <t>ヒヨウ</t>
    </rPh>
    <phoneticPr fontId="2"/>
  </si>
  <si>
    <t>VU φ400</t>
    <phoneticPr fontId="2"/>
  </si>
  <si>
    <t>25A(G-FF)</t>
    <phoneticPr fontId="23"/>
  </si>
  <si>
    <t>200A*500L</t>
  </si>
  <si>
    <t>ｴﾙﾎﾞ 32Ａ</t>
    <phoneticPr fontId="2"/>
  </si>
  <si>
    <t xml:space="preserve">安全弁 </t>
    <phoneticPr fontId="2"/>
  </si>
  <si>
    <t>15A SL-37-D</t>
    <phoneticPr fontId="2"/>
  </si>
  <si>
    <t>埋設配管補強工事費</t>
    <rPh sb="0" eb="4">
      <t>マイセツハイカン</t>
    </rPh>
    <rPh sb="4" eb="6">
      <t>ホキョウ</t>
    </rPh>
    <rPh sb="6" eb="8">
      <t>ホオンコウジ</t>
    </rPh>
    <rPh sb="8" eb="9">
      <t>ヒヨウ</t>
    </rPh>
    <phoneticPr fontId="2"/>
  </si>
  <si>
    <t>VU φ450</t>
    <phoneticPr fontId="2"/>
  </si>
  <si>
    <t>ｴﾙﾎﾞ 40Ａ</t>
    <phoneticPr fontId="2"/>
  </si>
  <si>
    <t>20A SL-37-D</t>
    <phoneticPr fontId="2"/>
  </si>
  <si>
    <t>配管塗装工事</t>
    <rPh sb="0" eb="2">
      <t>ハイカン</t>
    </rPh>
    <rPh sb="2" eb="6">
      <t>トソウコウジ</t>
    </rPh>
    <phoneticPr fontId="2"/>
  </si>
  <si>
    <t>VU φ500</t>
    <phoneticPr fontId="2"/>
  </si>
  <si>
    <t>ﾎﾟﾘﾌﾞﾃﾞﾝ管</t>
    <rPh sb="8" eb="9">
      <t>カン</t>
    </rPh>
    <phoneticPr fontId="2"/>
  </si>
  <si>
    <t>13A</t>
    <phoneticPr fontId="2"/>
  </si>
  <si>
    <t>100A</t>
  </si>
  <si>
    <t>32A*800L</t>
    <phoneticPr fontId="2"/>
  </si>
  <si>
    <t>ｴﾙﾎﾞ 50Ａ</t>
    <phoneticPr fontId="2"/>
  </si>
  <si>
    <t>25A SL-37-D</t>
    <phoneticPr fontId="2"/>
  </si>
  <si>
    <t>重さ</t>
    <rPh sb="0" eb="1">
      <t>オモ</t>
    </rPh>
    <phoneticPr fontId="2"/>
  </si>
  <si>
    <t>16A</t>
    <phoneticPr fontId="2"/>
  </si>
  <si>
    <t>40A*800L</t>
    <phoneticPr fontId="2"/>
  </si>
  <si>
    <t>ｴﾙﾎﾞ 65Ａ</t>
    <phoneticPr fontId="2"/>
  </si>
  <si>
    <t>32A SL-37-D</t>
    <phoneticPr fontId="2"/>
  </si>
  <si>
    <t>埋設配管掘削・埋め戻し工事</t>
    <rPh sb="0" eb="2">
      <t>マイセツ</t>
    </rPh>
    <rPh sb="2" eb="4">
      <t>ハイカンヨウ</t>
    </rPh>
    <rPh sb="4" eb="6">
      <t>クッサク</t>
    </rPh>
    <rPh sb="7" eb="8">
      <t>ウ</t>
    </rPh>
    <rPh sb="9" eb="10">
      <t>ウメモド</t>
    </rPh>
    <rPh sb="11" eb="13">
      <t>コウジ</t>
    </rPh>
    <phoneticPr fontId="2"/>
  </si>
  <si>
    <t>kg/m</t>
    <phoneticPr fontId="2"/>
  </si>
  <si>
    <t>塩ﾋﾞ管(耐衝撃性)</t>
    <rPh sb="0" eb="1">
      <t>エン</t>
    </rPh>
    <rPh sb="3" eb="4">
      <t>カン</t>
    </rPh>
    <rPh sb="5" eb="6">
      <t>タイ</t>
    </rPh>
    <rPh sb="6" eb="9">
      <t>ショウゲキセイ</t>
    </rPh>
    <phoneticPr fontId="2"/>
  </si>
  <si>
    <t>HI φ13</t>
  </si>
  <si>
    <t>50A*800L</t>
    <phoneticPr fontId="2"/>
  </si>
  <si>
    <t>ｴﾙﾎﾞ 80Ａ</t>
    <phoneticPr fontId="2"/>
  </si>
  <si>
    <t>40A SL-37-D</t>
    <phoneticPr fontId="2"/>
  </si>
  <si>
    <t>埋設配管掘削工事</t>
    <rPh sb="0" eb="2">
      <t>マイセツ</t>
    </rPh>
    <rPh sb="2" eb="4">
      <t>ハイカンヨウ</t>
    </rPh>
    <rPh sb="4" eb="6">
      <t>クッサク</t>
    </rPh>
    <rPh sb="6" eb="8">
      <t>コウジ</t>
    </rPh>
    <phoneticPr fontId="2"/>
  </si>
  <si>
    <t>HI φ16</t>
  </si>
  <si>
    <t>65A*800L</t>
    <phoneticPr fontId="2"/>
  </si>
  <si>
    <t>異径ﾁｰｽﾞ32×15</t>
    <rPh sb="0" eb="1">
      <t>イ</t>
    </rPh>
    <rPh sb="1" eb="2">
      <t>ケイ</t>
    </rPh>
    <phoneticPr fontId="2"/>
  </si>
  <si>
    <t>50A SL-37-D</t>
    <phoneticPr fontId="2"/>
  </si>
  <si>
    <t>埋設配管埋め戻し工事</t>
    <rPh sb="0" eb="2">
      <t>マイセツ</t>
    </rPh>
    <rPh sb="2" eb="4">
      <t>ハイカンヨウ</t>
    </rPh>
    <rPh sb="4" eb="5">
      <t>ウ</t>
    </rPh>
    <rPh sb="6" eb="7">
      <t>ウメモド</t>
    </rPh>
    <rPh sb="8" eb="10">
      <t>コウジ</t>
    </rPh>
    <phoneticPr fontId="2"/>
  </si>
  <si>
    <t>HI φ20</t>
  </si>
  <si>
    <t>30A</t>
    <phoneticPr fontId="2"/>
  </si>
  <si>
    <t>80A*800L</t>
    <phoneticPr fontId="2"/>
  </si>
  <si>
    <t>異径ﾁｰｽﾞ32×20</t>
    <rPh sb="0" eb="1">
      <t>イ</t>
    </rPh>
    <rPh sb="1" eb="2">
      <t>ケイ</t>
    </rPh>
    <phoneticPr fontId="2"/>
  </si>
  <si>
    <t>減圧弁(水用)</t>
    <rPh sb="0" eb="2">
      <t>ゲンアツ</t>
    </rPh>
    <rPh sb="2" eb="3">
      <t>ベン</t>
    </rPh>
    <phoneticPr fontId="2"/>
  </si>
  <si>
    <t>15A RD-31</t>
    <phoneticPr fontId="2"/>
  </si>
  <si>
    <t>保温(ﾃｰﾌﾟ巻)</t>
    <rPh sb="7" eb="8">
      <t>マキ</t>
    </rPh>
    <phoneticPr fontId="2"/>
  </si>
  <si>
    <t>HI φ25</t>
  </si>
  <si>
    <t>100A*800L</t>
  </si>
  <si>
    <t>異径ﾁｰｽﾞ40×15</t>
    <rPh sb="0" eb="1">
      <t>イ</t>
    </rPh>
    <rPh sb="1" eb="2">
      <t>ケイ</t>
    </rPh>
    <phoneticPr fontId="2"/>
  </si>
  <si>
    <t>20A RD-31</t>
    <phoneticPr fontId="2"/>
  </si>
  <si>
    <t>HI φ30</t>
  </si>
  <si>
    <t>125A*800L</t>
    <phoneticPr fontId="2"/>
  </si>
  <si>
    <t>異径ﾁｰｽﾞ40×20</t>
    <rPh sb="0" eb="1">
      <t>イ</t>
    </rPh>
    <rPh sb="1" eb="2">
      <t>ケイ</t>
    </rPh>
    <phoneticPr fontId="2"/>
  </si>
  <si>
    <t>25A RD-31</t>
    <phoneticPr fontId="2"/>
  </si>
  <si>
    <t>HI φ40</t>
  </si>
  <si>
    <t>150A*800L</t>
    <phoneticPr fontId="2"/>
  </si>
  <si>
    <t>異径ﾁｰｽﾞ50×15</t>
    <rPh sb="0" eb="1">
      <t>イ</t>
    </rPh>
    <rPh sb="1" eb="2">
      <t>ケイ</t>
    </rPh>
    <phoneticPr fontId="2"/>
  </si>
  <si>
    <t>32A RD-31</t>
    <phoneticPr fontId="2"/>
  </si>
  <si>
    <t>’10.12.17訂正箇所 部品値上</t>
    <rPh sb="9" eb="11">
      <t>テイセイ</t>
    </rPh>
    <rPh sb="11" eb="13">
      <t>カショ</t>
    </rPh>
    <rPh sb="14" eb="16">
      <t>ブヒン</t>
    </rPh>
    <rPh sb="16" eb="18">
      <t>ネア</t>
    </rPh>
    <phoneticPr fontId="2"/>
  </si>
  <si>
    <t>HI φ50</t>
  </si>
  <si>
    <t>75A</t>
    <phoneticPr fontId="2"/>
  </si>
  <si>
    <t>200A*800L</t>
    <phoneticPr fontId="2"/>
  </si>
  <si>
    <t>異径ﾁｰｽﾞ50×20</t>
    <rPh sb="0" eb="1">
      <t>イ</t>
    </rPh>
    <rPh sb="1" eb="2">
      <t>ケイ</t>
    </rPh>
    <phoneticPr fontId="2"/>
  </si>
  <si>
    <t>40A RD-31</t>
    <phoneticPr fontId="2"/>
  </si>
  <si>
    <t>’11.05.13訂正箇所　20%UP</t>
    <rPh sb="9" eb="11">
      <t>テイセイ</t>
    </rPh>
    <rPh sb="11" eb="13">
      <t>カショ</t>
    </rPh>
    <phoneticPr fontId="2"/>
  </si>
  <si>
    <t>50A RD-31</t>
    <phoneticPr fontId="2"/>
  </si>
  <si>
    <t>’14.08.19訂正箇所 原価値上</t>
    <rPh sb="9" eb="11">
      <t>テイセイ</t>
    </rPh>
    <rPh sb="11" eb="13">
      <t>カショ</t>
    </rPh>
    <rPh sb="14" eb="16">
      <t>ゲンカ</t>
    </rPh>
    <phoneticPr fontId="2"/>
  </si>
  <si>
    <t>塩ﾋﾞ管(耐熱性)</t>
    <rPh sb="0" eb="1">
      <t>エン</t>
    </rPh>
    <rPh sb="3" eb="4">
      <t>カン</t>
    </rPh>
    <rPh sb="5" eb="6">
      <t>タイ</t>
    </rPh>
    <rPh sb="6" eb="7">
      <t>セイ</t>
    </rPh>
    <rPh sb="7" eb="8">
      <t>）</t>
    </rPh>
    <phoneticPr fontId="2"/>
  </si>
  <si>
    <t>HT φ13</t>
    <phoneticPr fontId="2"/>
  </si>
  <si>
    <t>ﾎﾞｰﾙﾌﾚｷｼﾞｮｲﾝﾄ</t>
    <phoneticPr fontId="2"/>
  </si>
  <si>
    <t>32A*125L</t>
  </si>
  <si>
    <t>落水防止弁</t>
    <rPh sb="0" eb="2">
      <t>ラクスイ</t>
    </rPh>
    <rPh sb="2" eb="4">
      <t>ボウシ</t>
    </rPh>
    <rPh sb="4" eb="5">
      <t>ベン</t>
    </rPh>
    <phoneticPr fontId="2"/>
  </si>
  <si>
    <t>MD-20H 40A</t>
    <phoneticPr fontId="2"/>
  </si>
  <si>
    <t>69期価格修正</t>
    <rPh sb="2" eb="3">
      <t>キ</t>
    </rPh>
    <rPh sb="3" eb="5">
      <t>カカク</t>
    </rPh>
    <rPh sb="5" eb="7">
      <t>シュウセイ</t>
    </rPh>
    <phoneticPr fontId="2"/>
  </si>
  <si>
    <t>HT φ16</t>
    <phoneticPr fontId="2"/>
  </si>
  <si>
    <t>ﾎﾟﾘﾌﾞﾃﾞﾝ　ｿｹｯﾄ</t>
    <phoneticPr fontId="2"/>
  </si>
  <si>
    <t>40A*125L</t>
  </si>
  <si>
    <t>MD-20H 50A</t>
    <phoneticPr fontId="2"/>
  </si>
  <si>
    <t>HT φ20</t>
    <phoneticPr fontId="2"/>
  </si>
  <si>
    <t>50A*125L</t>
  </si>
  <si>
    <t>MD-20H 65A</t>
    <phoneticPr fontId="2"/>
  </si>
  <si>
    <t>kg/本</t>
    <rPh sb="3" eb="4">
      <t>ホン</t>
    </rPh>
    <phoneticPr fontId="2"/>
  </si>
  <si>
    <t>HT φ25</t>
    <phoneticPr fontId="2"/>
  </si>
  <si>
    <t>65A*125L</t>
  </si>
  <si>
    <t>MD-20H 80A</t>
    <phoneticPr fontId="2"/>
  </si>
  <si>
    <t>HT φ30</t>
    <phoneticPr fontId="2"/>
  </si>
  <si>
    <t>80A*125L</t>
  </si>
  <si>
    <t>MD-20H 100A</t>
    <phoneticPr fontId="2"/>
  </si>
  <si>
    <t>HT φ40</t>
    <phoneticPr fontId="2"/>
  </si>
  <si>
    <t>100A*150L</t>
  </si>
  <si>
    <t>MD-20H 125A</t>
    <phoneticPr fontId="2"/>
  </si>
  <si>
    <t>HT φ50</t>
    <phoneticPr fontId="2"/>
  </si>
  <si>
    <t>125A*175L</t>
  </si>
  <si>
    <t>MD-20H 150A</t>
    <phoneticPr fontId="2"/>
  </si>
  <si>
    <t>75期価格修正</t>
    <phoneticPr fontId="2"/>
  </si>
  <si>
    <t>HT φ65</t>
    <phoneticPr fontId="2"/>
  </si>
  <si>
    <t>150A*200L</t>
  </si>
  <si>
    <t>76期価格修正</t>
    <phoneticPr fontId="2"/>
  </si>
  <si>
    <t>HT φ75</t>
    <phoneticPr fontId="2"/>
  </si>
  <si>
    <t>200A*200L</t>
  </si>
  <si>
    <t>HT φ100</t>
    <phoneticPr fontId="2"/>
  </si>
  <si>
    <t>250A*250L</t>
  </si>
  <si>
    <t>HT φ125</t>
    <phoneticPr fontId="2"/>
  </si>
  <si>
    <t>ﾎﾟﾘﾌﾞﾃﾞﾝ　ｴﾙﾎﾞ</t>
    <phoneticPr fontId="2"/>
  </si>
  <si>
    <t>ﾀﾝｸ 保温工事</t>
  </si>
  <si>
    <t>HT φ150</t>
    <phoneticPr fontId="2"/>
  </si>
  <si>
    <t>φ20×120ｍ</t>
    <phoneticPr fontId="2"/>
  </si>
  <si>
    <t>巻</t>
    <rPh sb="0" eb="1">
      <t>カン</t>
    </rPh>
    <phoneticPr fontId="2"/>
  </si>
  <si>
    <t>φ25×100ｍ</t>
    <phoneticPr fontId="2"/>
  </si>
  <si>
    <t>φ30×60ｍ</t>
    <phoneticPr fontId="2"/>
  </si>
  <si>
    <t>標準項目</t>
  </si>
  <si>
    <t>NGP109TQX-J</t>
    <phoneticPr fontId="2"/>
  </si>
  <si>
    <t>エロフィン配管（40A)</t>
    <phoneticPr fontId="2"/>
  </si>
  <si>
    <t xml:space="preserve">  ---ﾊｳｽﾎﾞｲﾗ----</t>
    <phoneticPr fontId="2"/>
  </si>
  <si>
    <t>Ca</t>
  </si>
  <si>
    <t>○ﾊｳｽｶｵﾝｷ             HK2030TCV</t>
  </si>
  <si>
    <t>○ﾊｳｽｶｵﾝｷ             HK2030TEV</t>
  </si>
  <si>
    <t>○ｵｲﾙﾀﾝｸ              BOT-490</t>
  </si>
  <si>
    <t>○グリーンパッケージ  NGP109TQX-J</t>
    <phoneticPr fontId="2"/>
  </si>
  <si>
    <t>○小型温風機          KA-125E</t>
  </si>
  <si>
    <t>○ｴﾛﾌｨﾝﾁｭｰﾌﾞ          40A 32F  2750L</t>
  </si>
  <si>
    <t>○グロウエア          CG-254S2</t>
    <phoneticPr fontId="2"/>
  </si>
  <si>
    <t>e3</t>
    <phoneticPr fontId="2"/>
  </si>
  <si>
    <t>④同上搬入据付工事</t>
  </si>
  <si>
    <t>式</t>
    <phoneticPr fontId="2"/>
  </si>
  <si>
    <t>④機器組立工事</t>
    <rPh sb="3" eb="5">
      <t>クミタテ</t>
    </rPh>
    <phoneticPr fontId="3"/>
  </si>
  <si>
    <t>　（室内機・室外機　親機セット）</t>
    <rPh sb="2" eb="5">
      <t>シツナイキ</t>
    </rPh>
    <rPh sb="6" eb="9">
      <t>シツガイキ</t>
    </rPh>
    <rPh sb="10" eb="12">
      <t>オヤキ</t>
    </rPh>
    <phoneticPr fontId="2"/>
  </si>
  <si>
    <t>○ｴﾛﾌｨﾝﾁｭｰﾌﾞ          40A 32F  1500L</t>
  </si>
  <si>
    <t>e27</t>
    <phoneticPr fontId="2"/>
  </si>
  <si>
    <t>Cc</t>
    <phoneticPr fontId="2"/>
  </si>
  <si>
    <t>Cc</t>
  </si>
  <si>
    <t>　（省エネハイブリッド制御盤他　付属）</t>
    <rPh sb="2" eb="3">
      <t>ショウ</t>
    </rPh>
    <rPh sb="11" eb="14">
      <t>セイギョバン</t>
    </rPh>
    <rPh sb="14" eb="15">
      <t>ホカ</t>
    </rPh>
    <rPh sb="16" eb="18">
      <t>フゾク</t>
    </rPh>
    <phoneticPr fontId="2"/>
  </si>
  <si>
    <t>④ｴﾛﾌｨﾝ取付工事</t>
  </si>
  <si>
    <t>式</t>
  </si>
  <si>
    <t>HB-807TGA</t>
    <phoneticPr fontId="2"/>
  </si>
  <si>
    <t>e53</t>
    <phoneticPr fontId="2"/>
  </si>
  <si>
    <t>○煙室ｾｯﾄ             ES- 2330</t>
    <phoneticPr fontId="2"/>
  </si>
  <si>
    <t>①油配管ｾｯﾄ           BOP-CU5M</t>
  </si>
  <si>
    <t>Cb</t>
  </si>
  <si>
    <t>○煙突ｾｯﾄ             BEP-KA 1203</t>
  </si>
  <si>
    <t>○ｴﾛﾌｨﾝ支持金具       2段1列</t>
    <phoneticPr fontId="2"/>
  </si>
  <si>
    <t>e80</t>
    <phoneticPr fontId="2"/>
  </si>
  <si>
    <t>④同上取付工事</t>
  </si>
  <si>
    <t>①逃し管ｾｯﾄ            BOP-EP8M</t>
    <phoneticPr fontId="2"/>
  </si>
  <si>
    <t>④冷媒配管工事費　10mまで</t>
    <rPh sb="1" eb="3">
      <t>レイバイ</t>
    </rPh>
    <rPh sb="3" eb="5">
      <t>ハイカン</t>
    </rPh>
    <rPh sb="5" eb="8">
      <t>コウジヒ</t>
    </rPh>
    <phoneticPr fontId="2"/>
  </si>
  <si>
    <t>○煙突直管            φ120</t>
  </si>
  <si>
    <t>④同上取付工事</t>
    <phoneticPr fontId="2"/>
  </si>
  <si>
    <t>e110</t>
    <phoneticPr fontId="2"/>
  </si>
  <si>
    <t>○煙突ｾｯﾄ             BEP-20T 1504</t>
  </si>
  <si>
    <t>④同上配管断熱・防食ﾃｰﾌﾟ工事</t>
    <rPh sb="3" eb="5">
      <t>ハイカン</t>
    </rPh>
    <rPh sb="8" eb="10">
      <t>ボウショク</t>
    </rPh>
    <phoneticPr fontId="2"/>
  </si>
  <si>
    <t>○煙突ｴﾋﾞﾏｶﾞﾘ         φ120</t>
  </si>
  <si>
    <t>e142</t>
    <phoneticPr fontId="2"/>
  </si>
  <si>
    <t>②煙突支持金具</t>
    <rPh sb="3" eb="5">
      <t>シジ</t>
    </rPh>
    <rPh sb="5" eb="7">
      <t>カナグ</t>
    </rPh>
    <phoneticPr fontId="3"/>
  </si>
  <si>
    <t>○煙突直管            φ150</t>
  </si>
  <si>
    <t>④配管工事費</t>
  </si>
  <si>
    <t>④ドレーン配管工事　3mまで</t>
    <rPh sb="5" eb="7">
      <t>ハイカン</t>
    </rPh>
    <rPh sb="7" eb="9">
      <t>コウジ</t>
    </rPh>
    <phoneticPr fontId="2"/>
  </si>
  <si>
    <t>e174</t>
    <phoneticPr fontId="2"/>
  </si>
  <si>
    <t>④煙道・煙突取付工事</t>
  </si>
  <si>
    <t>○煙道ｴﾙﾎﾞ            φ150</t>
  </si>
  <si>
    <t>②消耗品雑材</t>
  </si>
  <si>
    <t>④ｱﾙﾐﾌﾚｷﾀﾞｸﾄ取付　φ225</t>
    <rPh sb="11" eb="13">
      <t>トリツケ</t>
    </rPh>
    <phoneticPr fontId="2"/>
  </si>
  <si>
    <t>④同上煙突取付工事</t>
  </si>
  <si>
    <t>○ｵｲﾙﾀﾝｸ              BOT-200</t>
  </si>
  <si>
    <t xml:space="preserve">  ---ﾊｳｽｶｵﾝｷ----</t>
  </si>
  <si>
    <t>④煙道断熱工事　ﾛｯｸｳｰﾙ</t>
    <rPh sb="3" eb="5">
      <t>ダンネツ</t>
    </rPh>
    <rPh sb="5" eb="7">
      <t>コウジ</t>
    </rPh>
    <phoneticPr fontId="3"/>
  </si>
  <si>
    <t>②煙突支持金具</t>
  </si>
  <si>
    <t>①ｱﾙﾐﾌﾚｷﾀﾞｸﾄ　φ225×4000L</t>
    <phoneticPr fontId="2"/>
  </si>
  <si>
    <t>Ca</t>
    <phoneticPr fontId="2"/>
  </si>
  <si>
    <t>④煙道断熱工事</t>
    <rPh sb="3" eb="5">
      <t>ダンネツ</t>
    </rPh>
    <phoneticPr fontId="2"/>
  </si>
  <si>
    <t>④同上組立工事</t>
    <phoneticPr fontId="2"/>
  </si>
  <si>
    <t>n3</t>
    <phoneticPr fontId="2"/>
  </si>
  <si>
    <t>ｵｲﾙﾀﾝｸ　1900L</t>
    <phoneticPr fontId="2"/>
  </si>
  <si>
    <t>④省ｴﾈﾊｲﾌﾞﾘｯﾄﾞ制御盤取付工事（NGP内機）</t>
    <rPh sb="1" eb="2">
      <t>ショウ</t>
    </rPh>
    <rPh sb="12" eb="14">
      <t>セイギョ</t>
    </rPh>
    <rPh sb="14" eb="15">
      <t>バン</t>
    </rPh>
    <rPh sb="15" eb="17">
      <t>トリツケ</t>
    </rPh>
    <rPh sb="23" eb="25">
      <t>ナイキ</t>
    </rPh>
    <phoneticPr fontId="2"/>
  </si>
  <si>
    <t>①空気抜弁(逆止弁付） 15A(AF-9H)</t>
  </si>
  <si>
    <t>④同上搬入据付工事</t>
    <phoneticPr fontId="2"/>
  </si>
  <si>
    <t>w3</t>
    <phoneticPr fontId="2"/>
  </si>
  <si>
    <t>Cb</t>
    <phoneticPr fontId="2"/>
  </si>
  <si>
    <t>④煙道断熱工事</t>
    <rPh sb="3" eb="5">
      <t>ダンネツ</t>
    </rPh>
    <rPh sb="5" eb="7">
      <t>コウジ</t>
    </rPh>
    <phoneticPr fontId="2"/>
  </si>
  <si>
    <t>○ｵｲﾙﾀﾝｸ              1900L</t>
    <phoneticPr fontId="2"/>
  </si>
  <si>
    <t>基</t>
  </si>
  <si>
    <t>④HK連動配線工事（露出）　20m</t>
    <rPh sb="3" eb="5">
      <t>レンドウ</t>
    </rPh>
    <rPh sb="7" eb="9">
      <t>コウジ</t>
    </rPh>
    <rPh sb="10" eb="12">
      <t>ロシュツ</t>
    </rPh>
    <phoneticPr fontId="2"/>
  </si>
  <si>
    <t>①配管継手類</t>
  </si>
  <si>
    <t>①油配管ｾｯﾄ           BOP-805M</t>
  </si>
  <si>
    <t>n25</t>
    <phoneticPr fontId="2"/>
  </si>
  <si>
    <t>○ﾊﾟﾜｰﾀﾞｸﾄ            折幅630×50m</t>
    <phoneticPr fontId="2"/>
  </si>
  <si>
    <t>○ﾊﾟﾜｰﾀﾞｸﾄ            折幅475×200m(0.07)</t>
    <phoneticPr fontId="2"/>
  </si>
  <si>
    <t>④ｾﾝｻｰ敷設工事（室温・湿度）</t>
    <rPh sb="5" eb="7">
      <t>フセツ</t>
    </rPh>
    <rPh sb="7" eb="9">
      <t>コウジ</t>
    </rPh>
    <rPh sb="10" eb="12">
      <t>シツオン</t>
    </rPh>
    <rPh sb="13" eb="15">
      <t>シツド</t>
    </rPh>
    <phoneticPr fontId="2"/>
  </si>
  <si>
    <t>①逃し管ｾｯﾄ          BOP-EP8M</t>
    <phoneticPr fontId="2"/>
  </si>
  <si>
    <t>w25</t>
    <phoneticPr fontId="2"/>
  </si>
  <si>
    <t>④吹出口筒　　　　　φ225×300L</t>
    <rPh sb="1" eb="3">
      <t>フキダシ</t>
    </rPh>
    <rPh sb="3" eb="4">
      <t>クチ</t>
    </rPh>
    <rPh sb="4" eb="5">
      <t>ツツ</t>
    </rPh>
    <phoneticPr fontId="2"/>
  </si>
  <si>
    <t>④塗装工事</t>
    <phoneticPr fontId="2"/>
  </si>
  <si>
    <t>①ﾌｨﾙﾀﾄﾞﾗｲﾔ</t>
    <phoneticPr fontId="2"/>
  </si>
  <si>
    <t>④埋設部防蝕工事</t>
  </si>
  <si>
    <t>n48</t>
    <phoneticPr fontId="2"/>
  </si>
  <si>
    <t>○ﾀﾞｸﾄｺﾈｸﾀｰ           DC-301</t>
  </si>
  <si>
    <t>②掃除具ｾｯﾄ　　  　　 BHS650</t>
    <rPh sb="1" eb="3">
      <t>ソウジ</t>
    </rPh>
    <rPh sb="3" eb="4">
      <t>グ</t>
    </rPh>
    <phoneticPr fontId="2"/>
  </si>
  <si>
    <t>②消耗品雑材</t>
    <rPh sb="1" eb="3">
      <t>ショウモウ</t>
    </rPh>
    <rPh sb="3" eb="4">
      <t>ヒン</t>
    </rPh>
    <rPh sb="4" eb="5">
      <t>ザツ</t>
    </rPh>
    <rPh sb="5" eb="6">
      <t>ザイ</t>
    </rPh>
    <phoneticPr fontId="2"/>
  </si>
  <si>
    <t>○小型温風機          KA-205E</t>
  </si>
  <si>
    <t>④塗装工事</t>
  </si>
  <si>
    <t>w48</t>
    <phoneticPr fontId="2"/>
  </si>
  <si>
    <t>②掃除具ｾｯﾄ　　　　   BHS650</t>
    <rPh sb="1" eb="3">
      <t>ソウジ</t>
    </rPh>
    <rPh sb="3" eb="4">
      <t>グ</t>
    </rPh>
    <phoneticPr fontId="2"/>
  </si>
  <si>
    <t>n70</t>
    <phoneticPr fontId="2"/>
  </si>
  <si>
    <t>①ﾌﾚｷｼﾞｮｲﾝﾄ(U)        25A*300L</t>
    <phoneticPr fontId="2"/>
  </si>
  <si>
    <t>NGP109TQ-J</t>
    <phoneticPr fontId="2"/>
  </si>
  <si>
    <t>w70</t>
    <phoneticPr fontId="2"/>
  </si>
  <si>
    <t>①配管継手類</t>
    <phoneticPr fontId="2"/>
  </si>
  <si>
    <t>○グリーンパッケージ  NGP109TQ-J</t>
    <phoneticPr fontId="2"/>
  </si>
  <si>
    <t>n89</t>
    <phoneticPr fontId="2"/>
  </si>
  <si>
    <t>　（室内機・室外機　子機セット）</t>
    <rPh sb="2" eb="5">
      <t>シツナイキ</t>
    </rPh>
    <rPh sb="6" eb="9">
      <t>シツガイキ</t>
    </rPh>
    <rPh sb="10" eb="12">
      <t>コキ</t>
    </rPh>
    <phoneticPr fontId="2"/>
  </si>
  <si>
    <t>w89</t>
    <phoneticPr fontId="2"/>
  </si>
  <si>
    <t>④配管塗装工事</t>
    <rPh sb="1" eb="3">
      <t>ハイカン</t>
    </rPh>
    <rPh sb="3" eb="5">
      <t>トソウ</t>
    </rPh>
    <rPh sb="5" eb="7">
      <t>コウジ</t>
    </rPh>
    <phoneticPr fontId="3"/>
  </si>
  <si>
    <t>①注油口              50A</t>
    <phoneticPr fontId="2"/>
  </si>
  <si>
    <t>○グロウエア          CG-554T2</t>
  </si>
  <si>
    <t>n108</t>
    <phoneticPr fontId="2"/>
  </si>
  <si>
    <t>エロフィン配管（50A)</t>
    <phoneticPr fontId="2"/>
  </si>
  <si>
    <t xml:space="preserve">  ---小型温風機---</t>
  </si>
  <si>
    <t>②配管支持具</t>
    <phoneticPr fontId="2"/>
  </si>
  <si>
    <t>○ｴﾛﾌｨﾝﾁｭｰﾌﾞ          50A 32F  2750L</t>
  </si>
  <si>
    <t>④配管工事費</t>
    <phoneticPr fontId="2"/>
  </si>
  <si>
    <t>aw16</t>
    <phoneticPr fontId="2"/>
  </si>
  <si>
    <t>○ﾊｳｽｶｵﾝｷ             HK3030TCV</t>
  </si>
  <si>
    <t>○ﾊｳｽｶｵﾝｷ             HK3030TEV</t>
  </si>
  <si>
    <t>②消耗品雑材</t>
    <rPh sb="1" eb="3">
      <t>ショウモウ</t>
    </rPh>
    <rPh sb="3" eb="4">
      <t>ヒン</t>
    </rPh>
    <rPh sb="4" eb="5">
      <t>ザツ</t>
    </rPh>
    <rPh sb="5" eb="6">
      <t>ザイ</t>
    </rPh>
    <phoneticPr fontId="3"/>
  </si>
  <si>
    <t>aw29</t>
    <phoneticPr fontId="2"/>
  </si>
  <si>
    <t>aw42</t>
    <phoneticPr fontId="2"/>
  </si>
  <si>
    <t>aw55</t>
    <phoneticPr fontId="2"/>
  </si>
  <si>
    <t>○ｵｲﾙﾀﾝｸ              BOT-10000</t>
  </si>
  <si>
    <t>aw70</t>
    <phoneticPr fontId="2"/>
  </si>
  <si>
    <t>○小型温風機          KA-325TE</t>
    <phoneticPr fontId="2"/>
  </si>
  <si>
    <t>aw85</t>
    <phoneticPr fontId="2"/>
  </si>
  <si>
    <t>④タンク塗装工事</t>
    <phoneticPr fontId="2"/>
  </si>
  <si>
    <t>EHP61×1基</t>
    <rPh sb="7" eb="8">
      <t>キ</t>
    </rPh>
    <phoneticPr fontId="2"/>
  </si>
  <si>
    <t>aw100</t>
    <phoneticPr fontId="2"/>
  </si>
  <si>
    <t>○誰でもﾋｰﾎﾟﾝ　EHP61</t>
    <rPh sb="1" eb="2">
      <t>ダレ</t>
    </rPh>
    <phoneticPr fontId="2"/>
  </si>
  <si>
    <t xml:space="preserve">  ---ｸﾞﾘｰﾝﾊﾟｯｹｰｼﾞ ---</t>
    <phoneticPr fontId="2"/>
  </si>
  <si>
    <t>　（室内機・室外機・操作盤セット）</t>
    <rPh sb="2" eb="5">
      <t>シツナイキ</t>
    </rPh>
    <rPh sb="6" eb="9">
      <t>シツガイキ</t>
    </rPh>
    <rPh sb="10" eb="13">
      <t>ソウサバン</t>
    </rPh>
    <phoneticPr fontId="2"/>
  </si>
  <si>
    <t>①逃し管ｾｯﾄ           BOP-EP8M</t>
    <phoneticPr fontId="2"/>
  </si>
  <si>
    <t>an3</t>
    <phoneticPr fontId="2"/>
  </si>
  <si>
    <t>④EHP用ﾊｲﾌﾞﾘｯﾄﾞ制御基板ｾｯﾄ EHP-HCS</t>
    <phoneticPr fontId="2"/>
  </si>
  <si>
    <t>an19</t>
    <phoneticPr fontId="2"/>
  </si>
  <si>
    <t>誰でもﾋｰﾎﾟﾝ（1台）</t>
    <rPh sb="0" eb="1">
      <t>ダレ</t>
    </rPh>
    <rPh sb="10" eb="11">
      <t>ダイ</t>
    </rPh>
    <phoneticPr fontId="2"/>
  </si>
  <si>
    <t>an31</t>
    <phoneticPr fontId="2"/>
  </si>
  <si>
    <t>①ﾌﾚｷｼﾞｮｲﾝﾄ(F)        65A*500L</t>
  </si>
  <si>
    <t>誰でもﾋｰﾎﾟﾝ（2台）</t>
    <rPh sb="0" eb="1">
      <t>ダレ</t>
    </rPh>
    <rPh sb="10" eb="11">
      <t>ダイ</t>
    </rPh>
    <phoneticPr fontId="2"/>
  </si>
  <si>
    <t>an44</t>
    <phoneticPr fontId="2"/>
  </si>
  <si>
    <t>○ﾊﾟﾜｰﾀﾞｸﾄ            折幅900×50m</t>
    <phoneticPr fontId="2"/>
  </si>
  <si>
    <t>①ﾌﾚｷｼﾞｮｲﾝﾄ(F)        40A*500L</t>
  </si>
  <si>
    <t xml:space="preserve">  ---ｸﾞﾛｳｴｱ---</t>
    <phoneticPr fontId="2"/>
  </si>
  <si>
    <t>①注油口              65A</t>
    <phoneticPr fontId="2"/>
  </si>
  <si>
    <t>②掃除具ｾｯﾄ　　　  　 BHS650</t>
    <rPh sb="1" eb="3">
      <t>ソウジ</t>
    </rPh>
    <rPh sb="3" eb="4">
      <t>グ</t>
    </rPh>
    <phoneticPr fontId="2"/>
  </si>
  <si>
    <t>①配管継手類</t>
    <phoneticPr fontId="3"/>
  </si>
  <si>
    <t>④省ｴﾈﾊｲﾌﾞﾘｯﾄﾞ基板取付工事</t>
    <rPh sb="1" eb="2">
      <t>ショウ</t>
    </rPh>
    <rPh sb="12" eb="14">
      <t>キバン</t>
    </rPh>
    <rPh sb="14" eb="16">
      <t>トリツケ</t>
    </rPh>
    <phoneticPr fontId="2"/>
  </si>
  <si>
    <t>bo21</t>
    <phoneticPr fontId="2"/>
  </si>
  <si>
    <t>○グロウエア          CG-854T2</t>
  </si>
  <si>
    <t>bo39</t>
    <phoneticPr fontId="2"/>
  </si>
  <si>
    <t xml:space="preserve">  ---ｸﾞﾘｰﾝｿｰﾗ ---</t>
    <phoneticPr fontId="2"/>
  </si>
  <si>
    <t>④タンク塗装工事</t>
  </si>
  <si>
    <t>bf97</t>
    <phoneticPr fontId="2"/>
  </si>
  <si>
    <t>○小型温風機          KA- 405TE</t>
  </si>
  <si>
    <t>エロフィン配管（65A)</t>
    <phoneticPr fontId="2"/>
  </si>
  <si>
    <t xml:space="preserve">  ---循環扇 ---</t>
    <phoneticPr fontId="2"/>
  </si>
  <si>
    <t>EHP61×2基</t>
    <rPh sb="7" eb="8">
      <t>キ</t>
    </rPh>
    <phoneticPr fontId="2"/>
  </si>
  <si>
    <t>○ｴﾛﾌｨﾝﾁｭｰﾌﾞ          65A 32F  2750L</t>
  </si>
  <si>
    <t>aw116</t>
    <phoneticPr fontId="2"/>
  </si>
  <si>
    <t>①フレキシブルホース3/8B1500L</t>
    <phoneticPr fontId="2"/>
  </si>
  <si>
    <t>○ｴﾛﾌｨﾝﾁｭｰﾌﾞ          65A 32F  2000L</t>
  </si>
  <si>
    <t xml:space="preserve">  ---ｵｲﾙ関係 ---</t>
  </si>
  <si>
    <t>○ｵｲﾙﾀﾝｸ              BOT-20000</t>
  </si>
  <si>
    <t>○煙突ｾｯﾄ             BEP-HB 1201</t>
  </si>
  <si>
    <t>BOT-   200 ｵｲﾙﾀﾝｸ</t>
    <phoneticPr fontId="2"/>
  </si>
  <si>
    <t>ae137</t>
    <phoneticPr fontId="2"/>
  </si>
  <si>
    <t>BOT-   490 ｵｲﾙﾀﾝｸ</t>
  </si>
  <si>
    <t>ae3</t>
    <phoneticPr fontId="2"/>
  </si>
  <si>
    <t xml:space="preserve"> HK4030TCV</t>
  </si>
  <si>
    <t>BOT- 　900 ｵｲﾙﾀﾝｸ</t>
    <phoneticPr fontId="2"/>
  </si>
  <si>
    <t>ae172</t>
    <phoneticPr fontId="2"/>
  </si>
  <si>
    <t>○ﾊｳｽｶｵﾝｷ             HK4030TCV</t>
  </si>
  <si>
    <t>○ﾊｳｽｶｵﾝｷ             HK4030TEV</t>
  </si>
  <si>
    <t>BOT- 1900 ｵｲﾙﾀﾝｸ</t>
    <phoneticPr fontId="2"/>
  </si>
  <si>
    <t>ae13</t>
    <phoneticPr fontId="2"/>
  </si>
  <si>
    <t>BOT-10000 ｵｲﾙﾀﾝｸ</t>
    <phoneticPr fontId="2"/>
  </si>
  <si>
    <t>ae28</t>
    <phoneticPr fontId="2"/>
  </si>
  <si>
    <t>BOT-20000 ｵｲﾙﾀﾝｸ</t>
  </si>
  <si>
    <t>ae45</t>
    <phoneticPr fontId="2"/>
  </si>
  <si>
    <t>○煙室ｾｯﾄ             ES- 4030</t>
    <phoneticPr fontId="2"/>
  </si>
  <si>
    <t>少量危険物</t>
  </si>
  <si>
    <t>ae91</t>
    <phoneticPr fontId="2"/>
  </si>
  <si>
    <t>一般危険物</t>
  </si>
  <si>
    <t>ae102</t>
    <phoneticPr fontId="2"/>
  </si>
  <si>
    <t>○煙突ｾｯﾄ             BEP-20T 2252</t>
  </si>
  <si>
    <t>①ﾌﾚｷｼﾞｮｲﾝﾄ(F)        50A*500L</t>
  </si>
  <si>
    <t>油配管_単独25A</t>
  </si>
  <si>
    <t>ae118</t>
    <phoneticPr fontId="2"/>
  </si>
  <si>
    <t>○煙突直管            φ225</t>
  </si>
  <si>
    <t>①注油口              65A</t>
  </si>
  <si>
    <t>油配管_集中25A</t>
  </si>
  <si>
    <t>ae128</t>
    <phoneticPr fontId="2"/>
  </si>
  <si>
    <t>○煙道ｴﾙﾎﾞ            φ225</t>
  </si>
  <si>
    <t>ｱｸﾞﾘﾈｯﾄ　警報のみ</t>
    <rPh sb="8" eb="10">
      <t>ケイホウ</t>
    </rPh>
    <phoneticPr fontId="2"/>
  </si>
  <si>
    <t>○小型温風機          KA- 125</t>
  </si>
  <si>
    <t>BOT-490(防油堤付)</t>
    <rPh sb="8" eb="11">
      <t>ボウユテイ</t>
    </rPh>
    <rPh sb="11" eb="12">
      <t>ツ</t>
    </rPh>
    <phoneticPr fontId="2"/>
  </si>
  <si>
    <t>ae189</t>
    <phoneticPr fontId="2"/>
  </si>
  <si>
    <t>○ANｱﾄﾞﾊﾞﾝｽ AN-BOX　　ABX-1000A</t>
    <phoneticPr fontId="2"/>
  </si>
  <si>
    <t>KS1-399SZ(防油堤付)</t>
    <rPh sb="10" eb="13">
      <t>ボウユテイ</t>
    </rPh>
    <rPh sb="13" eb="14">
      <t>ツ</t>
    </rPh>
    <phoneticPr fontId="2"/>
  </si>
  <si>
    <t>ae205</t>
    <phoneticPr fontId="2"/>
  </si>
  <si>
    <t>②配管支持具</t>
    <rPh sb="1" eb="3">
      <t>ハイカン</t>
    </rPh>
    <rPh sb="3" eb="5">
      <t>シジ</t>
    </rPh>
    <rPh sb="5" eb="6">
      <t>グ</t>
    </rPh>
    <phoneticPr fontId="3"/>
  </si>
  <si>
    <t>〇AN-BOX用警報入力ﾕﾆｯﾄ　AAL-1000</t>
    <phoneticPr fontId="2"/>
  </si>
  <si>
    <t>KS2-490SJ(防油堤付)</t>
    <rPh sb="10" eb="13">
      <t>ボウユテイ</t>
    </rPh>
    <rPh sb="13" eb="14">
      <t>ツ</t>
    </rPh>
    <phoneticPr fontId="2"/>
  </si>
  <si>
    <t>ae221</t>
    <phoneticPr fontId="2"/>
  </si>
  <si>
    <t>○ﾛｰﾘｰｱｰｽ             RE-SS</t>
  </si>
  <si>
    <t>④同上取付工事（ﾍﾞﾆﾔ込）</t>
    <rPh sb="3" eb="5">
      <t>トリツケ</t>
    </rPh>
    <rPh sb="12" eb="13">
      <t>コミ</t>
    </rPh>
    <phoneticPr fontId="2"/>
  </si>
  <si>
    <t xml:space="preserve">  ---暖房関連 ---</t>
    <rPh sb="5" eb="7">
      <t>ダンボウ</t>
    </rPh>
    <rPh sb="7" eb="9">
      <t>カンレン</t>
    </rPh>
    <phoneticPr fontId="2"/>
  </si>
  <si>
    <t>④機材運搬費</t>
    <rPh sb="1" eb="3">
      <t>キザイ</t>
    </rPh>
    <rPh sb="3" eb="5">
      <t>ウンパン</t>
    </rPh>
    <rPh sb="5" eb="6">
      <t>ヒ</t>
    </rPh>
    <phoneticPr fontId="3"/>
  </si>
  <si>
    <t>④電源工事（2次側）資材費込み(5mまで)</t>
    <rPh sb="1" eb="3">
      <t>デンゲン</t>
    </rPh>
    <rPh sb="3" eb="5">
      <t>コウジ</t>
    </rPh>
    <rPh sb="7" eb="8">
      <t>ジ</t>
    </rPh>
    <rPh sb="8" eb="9">
      <t>ガワ</t>
    </rPh>
    <rPh sb="10" eb="12">
      <t>シザイ</t>
    </rPh>
    <rPh sb="12" eb="13">
      <t>ヒ</t>
    </rPh>
    <rPh sb="13" eb="14">
      <t>コミ</t>
    </rPh>
    <phoneticPr fontId="2"/>
  </si>
  <si>
    <t>ｴﾛﾌｨﾝ配管_40A</t>
  </si>
  <si>
    <t>bf3</t>
    <phoneticPr fontId="2"/>
  </si>
  <si>
    <t>④SG警報信号配線工事　VCT1.25 2C 100m</t>
    <rPh sb="3" eb="5">
      <t>ケイホウ</t>
    </rPh>
    <rPh sb="5" eb="7">
      <t>シンゴウ</t>
    </rPh>
    <rPh sb="7" eb="9">
      <t>ハイセン</t>
    </rPh>
    <rPh sb="9" eb="11">
      <t>コウジ</t>
    </rPh>
    <phoneticPr fontId="2"/>
  </si>
  <si>
    <t>ｴﾛﾌｨﾝ配管_50A</t>
  </si>
  <si>
    <t>bf23</t>
    <phoneticPr fontId="2"/>
  </si>
  <si>
    <t>④煙道断熱工事</t>
    <phoneticPr fontId="2"/>
  </si>
  <si>
    <t>○ﾈﾎﾟﾝｻｰﾓ NT-100　（低温警報用）</t>
    <rPh sb="18" eb="20">
      <t>ケイホウ</t>
    </rPh>
    <rPh sb="20" eb="21">
      <t>ケイホウ</t>
    </rPh>
    <rPh sb="21" eb="22">
      <t>ヨウ</t>
    </rPh>
    <phoneticPr fontId="2"/>
  </si>
  <si>
    <t>ｴﾛﾌｨﾝ配管_65A</t>
  </si>
  <si>
    <t>bf43</t>
    <phoneticPr fontId="2"/>
  </si>
  <si>
    <t>②掃除具ｾｯﾄ　  　　　 BHS650</t>
    <rPh sb="1" eb="3">
      <t>ソウジ</t>
    </rPh>
    <rPh sb="3" eb="4">
      <t>グ</t>
    </rPh>
    <phoneticPr fontId="2"/>
  </si>
  <si>
    <t>④NT-100電源配線工事　VCT1.25 2C 100m</t>
    <rPh sb="7" eb="9">
      <t>デンゲン</t>
    </rPh>
    <rPh sb="9" eb="11">
      <t>ハイセン</t>
    </rPh>
    <rPh sb="11" eb="13">
      <t>コウジ</t>
    </rPh>
    <phoneticPr fontId="2"/>
  </si>
  <si>
    <t>ベット加温配管</t>
    <phoneticPr fontId="2"/>
  </si>
  <si>
    <t>ﾍﾞｯﾄ加温配管</t>
    <phoneticPr fontId="2"/>
  </si>
  <si>
    <t>bf63</t>
    <phoneticPr fontId="2"/>
  </si>
  <si>
    <t>養液ﾀﾝｸ加温</t>
    <phoneticPr fontId="2"/>
  </si>
  <si>
    <t>bf83</t>
    <phoneticPr fontId="2"/>
  </si>
  <si>
    <t>地下ﾀﾝｸ　　10000L</t>
    <phoneticPr fontId="2"/>
  </si>
  <si>
    <t>○ﾊﾟﾜｰﾀﾞｸﾄ            折幅475×100m</t>
    <phoneticPr fontId="2"/>
  </si>
  <si>
    <t xml:space="preserve">  ---ｱｸﾞﾘﾈｯﾄ関連 ---</t>
    <rPh sb="12" eb="14">
      <t>カンレン</t>
    </rPh>
    <phoneticPr fontId="2"/>
  </si>
  <si>
    <t>○地下ﾀﾝｸ             10000ﾘｯﾄﾙ</t>
  </si>
  <si>
    <t>○吹出口ｴﾙﾎﾞ          BDE-KA220</t>
  </si>
  <si>
    <t>①硬質ポリ管          φ20 120m</t>
  </si>
  <si>
    <t>巻</t>
  </si>
  <si>
    <t>警報ﾓﾆﾀﾘﾝｸﾞ</t>
    <rPh sb="0" eb="2">
      <t>ケイホウ</t>
    </rPh>
    <phoneticPr fontId="2"/>
  </si>
  <si>
    <t>an67</t>
    <phoneticPr fontId="2"/>
  </si>
  <si>
    <t>ｱｸﾞﾘﾈｯﾄ　警報ﾓﾆﾀﾘﾝｸﾞ</t>
    <rPh sb="8" eb="10">
      <t>ケイホウ</t>
    </rPh>
    <phoneticPr fontId="2"/>
  </si>
  <si>
    <t>①ポリｼﾞｮｲﾝﾄ          φ20</t>
  </si>
  <si>
    <t>警報</t>
    <rPh sb="0" eb="2">
      <t>ケイホウ</t>
    </rPh>
    <phoneticPr fontId="2"/>
  </si>
  <si>
    <t>an56</t>
    <phoneticPr fontId="2"/>
  </si>
  <si>
    <t>④防蝕処理　　　　　　10000ﾘｯﾄﾙ</t>
  </si>
  <si>
    <t>④ポリ管（放熱管）敷設工事</t>
  </si>
  <si>
    <t>環境ﾓﾆﾀﾘﾝｸﾞ（炭酸ｶﾞｽ）</t>
    <rPh sb="0" eb="2">
      <t>カンキョウ</t>
    </rPh>
    <rPh sb="10" eb="12">
      <t>タンサン</t>
    </rPh>
    <phoneticPr fontId="2"/>
  </si>
  <si>
    <t>an84</t>
    <phoneticPr fontId="2"/>
  </si>
  <si>
    <t>○ﾓﾆﾀﾘﾝｸﾞｾﾝｻ 　　　　　　　　MAC-5010</t>
    <phoneticPr fontId="2"/>
  </si>
  <si>
    <t>環境制御（制御盤）</t>
    <rPh sb="0" eb="2">
      <t>カンキョウ</t>
    </rPh>
    <rPh sb="2" eb="4">
      <t>セイギョ</t>
    </rPh>
    <rPh sb="5" eb="7">
      <t>セイギョ</t>
    </rPh>
    <rPh sb="7" eb="8">
      <t>バン</t>
    </rPh>
    <phoneticPr fontId="2"/>
  </si>
  <si>
    <t>an104</t>
    <phoneticPr fontId="2"/>
  </si>
  <si>
    <t>①同上ﾎﾞｯｸｽ</t>
  </si>
  <si>
    <t>○温湿度ｾﾝｻ　　　　　　　　　HUS-13</t>
    <rPh sb="1" eb="4">
      <t>オンシツド</t>
    </rPh>
    <phoneticPr fontId="2"/>
  </si>
  <si>
    <t>○ﾊｳｽｶｵﾝｷ             HK5030TCV</t>
  </si>
  <si>
    <t>○ﾊｳｽｶｵﾝｷ             HK5030TEV</t>
  </si>
  <si>
    <t>○ｾﾝｻｰｶﾊﾞｰ　　　　　　　　　 BSC-10</t>
    <phoneticPr fontId="2"/>
  </si>
  <si>
    <t>○小型温風機          KA- 205</t>
  </si>
  <si>
    <t>○日射ｾﾝｻ　　　　　　　　　　HRS-10A　</t>
    <rPh sb="1" eb="3">
      <t>ニッシャ</t>
    </rPh>
    <phoneticPr fontId="2"/>
  </si>
  <si>
    <t>○煙室ｾｯﾄ             ES- 5630</t>
    <phoneticPr fontId="2"/>
  </si>
  <si>
    <t>○変換ｺﾈｸﾀ</t>
    <rPh sb="1" eb="3">
      <t>ヘンカン</t>
    </rPh>
    <phoneticPr fontId="2"/>
  </si>
  <si>
    <t>④配管塗装工事</t>
  </si>
  <si>
    <t>①除水器　            25A</t>
  </si>
  <si>
    <t>①通気口              32A</t>
  </si>
  <si>
    <t>④SG電源工事（2次側）資材費込み(5mまで)</t>
    <rPh sb="3" eb="5">
      <t>デンゲン</t>
    </rPh>
    <rPh sb="5" eb="7">
      <t>コウジ</t>
    </rPh>
    <rPh sb="9" eb="10">
      <t>ジ</t>
    </rPh>
    <rPh sb="10" eb="11">
      <t>ガワ</t>
    </rPh>
    <rPh sb="12" eb="14">
      <t>シザイ</t>
    </rPh>
    <rPh sb="14" eb="15">
      <t>ヒ</t>
    </rPh>
    <rPh sb="15" eb="16">
      <t>コミ</t>
    </rPh>
    <phoneticPr fontId="2"/>
  </si>
  <si>
    <t>①計量尺・計量口</t>
  </si>
  <si>
    <t>④MAC電源配線工事　VCT1.25 2C 100m</t>
    <rPh sb="4" eb="6">
      <t>デンゲン</t>
    </rPh>
    <rPh sb="6" eb="8">
      <t>ハイセン</t>
    </rPh>
    <rPh sb="8" eb="10">
      <t>コウジ</t>
    </rPh>
    <phoneticPr fontId="2"/>
  </si>
  <si>
    <t>①検知管</t>
  </si>
  <si>
    <t>④MAC通信配線工事　MVVS1.25 3C 100m</t>
    <rPh sb="4" eb="6">
      <t>ツウシン</t>
    </rPh>
    <rPh sb="6" eb="8">
      <t>ハイセン</t>
    </rPh>
    <rPh sb="8" eb="10">
      <t>コウジ</t>
    </rPh>
    <phoneticPr fontId="2"/>
  </si>
  <si>
    <t>②ﾏﾝﾎｰﾙ               φ800</t>
  </si>
  <si>
    <t>④HKC通信配線工事　MVVS1.25 3C 100m</t>
    <rPh sb="4" eb="6">
      <t>ツウシン</t>
    </rPh>
    <rPh sb="6" eb="8">
      <t>ハイセン</t>
    </rPh>
    <rPh sb="8" eb="10">
      <t>コウジ</t>
    </rPh>
    <phoneticPr fontId="2"/>
  </si>
  <si>
    <t>②ﾏﾝﾎｰﾙ               φ700</t>
  </si>
  <si>
    <t>④警報信号配線工事　VCT1.25 2C 100m</t>
    <rPh sb="1" eb="3">
      <t>ケイホウ</t>
    </rPh>
    <rPh sb="3" eb="5">
      <t>シンゴウ</t>
    </rPh>
    <rPh sb="4" eb="5">
      <t>セッテン</t>
    </rPh>
    <rPh sb="5" eb="7">
      <t>ハイセン</t>
    </rPh>
    <rPh sb="7" eb="9">
      <t>コウジ</t>
    </rPh>
    <phoneticPr fontId="2"/>
  </si>
  <si>
    <t>○ﾛｰﾘｰｱｱｰｽ</t>
  </si>
  <si>
    <t>○ﾊﾟﾜｰﾀﾞｸﾄ            折幅1100×50m</t>
    <phoneticPr fontId="2"/>
  </si>
  <si>
    <t>○液面指示計</t>
  </si>
  <si>
    <t>④吹出口筒　　　　　φ300×300L</t>
    <rPh sb="1" eb="3">
      <t>フキダシ</t>
    </rPh>
    <rPh sb="3" eb="4">
      <t>クチ</t>
    </rPh>
    <rPh sb="4" eb="5">
      <t>ツツ</t>
    </rPh>
    <phoneticPr fontId="2"/>
  </si>
  <si>
    <t>④部材取付費</t>
  </si>
  <si>
    <t>養液タンク加温</t>
  </si>
  <si>
    <t>○ﾀﾞｸﾄｺﾈｸﾀｰ           DC-401</t>
  </si>
  <si>
    <t>②掃除具ｾｯﾄ  　　　　 BHS650</t>
    <rPh sb="1" eb="3">
      <t>ソウジ</t>
    </rPh>
    <rPh sb="3" eb="4">
      <t>グ</t>
    </rPh>
    <phoneticPr fontId="2"/>
  </si>
  <si>
    <t>ｱｸﾞﾘﾈｯﾄ　環境ﾓﾆﾀﾘﾝｸﾞ(炭酸ｶﾞｽ)</t>
    <rPh sb="8" eb="10">
      <t>カンキョウ</t>
    </rPh>
    <rPh sb="17" eb="19">
      <t>タンサン</t>
    </rPh>
    <rPh sb="18" eb="20">
      <t>タンサン</t>
    </rPh>
    <phoneticPr fontId="2"/>
  </si>
  <si>
    <t>○熱交換ｺｲﾙ           BNC-150</t>
  </si>
  <si>
    <t>④同上架台及び据付工事</t>
  </si>
  <si>
    <t>○ﾓﾆﾀﾘﾝｸﾞｾﾝｻ MAC-5010</t>
    <phoneticPr fontId="2"/>
  </si>
  <si>
    <t>○小型温風機          KA- 325T</t>
    <phoneticPr fontId="2"/>
  </si>
  <si>
    <t>○温湿度ｾﾝｻ　HUS-13</t>
    <rPh sb="1" eb="4">
      <t>オンシツド</t>
    </rPh>
    <phoneticPr fontId="2"/>
  </si>
  <si>
    <t>④煙道断熱工事</t>
  </si>
  <si>
    <t>○ｾﾝｻｰｶﾊﾞｰ　 BSC-10</t>
    <phoneticPr fontId="2"/>
  </si>
  <si>
    <t>○ﾊｳｽｶｵﾝｷ             HK6030TCV</t>
  </si>
  <si>
    <t>○ﾊｳｽｶｵﾝｷ             HK6030TEV</t>
  </si>
  <si>
    <t>○日射ｾﾝｻ　　HRS-10A　</t>
    <rPh sb="1" eb="3">
      <t>ニッシャ</t>
    </rPh>
    <phoneticPr fontId="2"/>
  </si>
  <si>
    <t>○消火器              ABC-10形</t>
  </si>
  <si>
    <t>○炭酸ガス指南番 CGC-600</t>
    <rPh sb="1" eb="3">
      <t>タンサン</t>
    </rPh>
    <rPh sb="5" eb="7">
      <t>シナン</t>
    </rPh>
    <rPh sb="7" eb="8">
      <t>バン</t>
    </rPh>
    <phoneticPr fontId="2"/>
  </si>
  <si>
    <t>○格納箱              ABC-10用</t>
    <phoneticPr fontId="2"/>
  </si>
  <si>
    <t>○消火器設置台              VA</t>
    <phoneticPr fontId="2"/>
  </si>
  <si>
    <t>○煙突ｾｯﾄ             BEP-20T 2252</t>
    <phoneticPr fontId="2"/>
  </si>
  <si>
    <t>○危険物看板          火気厳禁他２点</t>
  </si>
  <si>
    <t>○煙突直管            φ225</t>
    <phoneticPr fontId="2"/>
  </si>
  <si>
    <t>④同上取付金具（取付を含む）</t>
    <phoneticPr fontId="2"/>
  </si>
  <si>
    <t>○吹出口ｴﾙﾎﾞ          BDE-KA300</t>
    <phoneticPr fontId="2"/>
  </si>
  <si>
    <t>○煙道ｴﾙﾎﾞ            φ225</t>
    <phoneticPr fontId="2"/>
  </si>
  <si>
    <t>○消防関連打合せ費用</t>
    <phoneticPr fontId="2"/>
  </si>
  <si>
    <t>○ｸﾞﾘｰﾝｿｰﾗ          RHE-134E</t>
    <phoneticPr fontId="2"/>
  </si>
  <si>
    <t>④煙道・煙突取付工事</t>
    <phoneticPr fontId="2"/>
  </si>
  <si>
    <t>④CGC電源配線工事　VCT2.0 3C 3m</t>
    <rPh sb="4" eb="6">
      <t>デンゲン</t>
    </rPh>
    <rPh sb="6" eb="8">
      <t>ハイセン</t>
    </rPh>
    <rPh sb="8" eb="10">
      <t>コウジ</t>
    </rPh>
    <phoneticPr fontId="2"/>
  </si>
  <si>
    <t>④CG制御配線工事　VCT2.0 3C 3m</t>
    <rPh sb="3" eb="5">
      <t>セイギョ</t>
    </rPh>
    <rPh sb="5" eb="7">
      <t>ハイセン</t>
    </rPh>
    <rPh sb="7" eb="9">
      <t>コウジ</t>
    </rPh>
    <phoneticPr fontId="2"/>
  </si>
  <si>
    <t>○小型温風機          KA- 405T</t>
    <phoneticPr fontId="2"/>
  </si>
  <si>
    <t>①保温（亀甲巻き）    65A</t>
  </si>
  <si>
    <t>○ﾀﾞｸﾄｺﾈｸﾀｰ           DC-401</t>
    <phoneticPr fontId="2"/>
  </si>
  <si>
    <t>○消火器              ABC-10形</t>
    <phoneticPr fontId="2"/>
  </si>
  <si>
    <t>①保温（亀甲巻き）    50A</t>
  </si>
  <si>
    <t>○消火器              ABC-50形</t>
    <phoneticPr fontId="2"/>
  </si>
  <si>
    <t>ｱｸﾞﾘﾈｯﾄ　環境制御(制御盤)</t>
    <rPh sb="8" eb="10">
      <t>カンキョウ</t>
    </rPh>
    <rPh sb="10" eb="12">
      <t>セイギョ</t>
    </rPh>
    <rPh sb="13" eb="15">
      <t>セイギョ</t>
    </rPh>
    <rPh sb="15" eb="16">
      <t>バン</t>
    </rPh>
    <phoneticPr fontId="2"/>
  </si>
  <si>
    <t>②消耗品雑材</t>
    <phoneticPr fontId="2"/>
  </si>
  <si>
    <t>③電動弁制御盤</t>
    <rPh sb="1" eb="3">
      <t>デンドウ</t>
    </rPh>
    <rPh sb="3" eb="4">
      <t>ベン</t>
    </rPh>
    <rPh sb="4" eb="6">
      <t>セイギョ</t>
    </rPh>
    <rPh sb="6" eb="7">
      <t>バン</t>
    </rPh>
    <phoneticPr fontId="2"/>
  </si>
  <si>
    <t>○格納箱              ABC-50用</t>
    <phoneticPr fontId="2"/>
  </si>
  <si>
    <t>①空気抜弁              15A(AF-4M)</t>
    <phoneticPr fontId="2"/>
  </si>
  <si>
    <t>○危険物看板          火気厳禁他２点</t>
    <phoneticPr fontId="2"/>
  </si>
  <si>
    <t>○ｾﾝｻｰｶﾊﾞｰ　BSC-10</t>
    <phoneticPr fontId="2"/>
  </si>
  <si>
    <t>○ﾊｳｽｶｵﾝｷ             HK8030GCV</t>
    <phoneticPr fontId="2"/>
  </si>
  <si>
    <t>④油タンク水張り検査費</t>
    <phoneticPr fontId="2"/>
  </si>
  <si>
    <t>○吹出口ｴﾙﾎﾞ          BDE-KA300</t>
  </si>
  <si>
    <t>○煙室ｾｯﾄ             ES- 8030</t>
    <phoneticPr fontId="2"/>
  </si>
  <si>
    <t>④油配管圧力検査費</t>
    <phoneticPr fontId="2"/>
  </si>
  <si>
    <t>○複合環境制御盤 MC-6001</t>
    <rPh sb="1" eb="3">
      <t>フクゴウ</t>
    </rPh>
    <rPh sb="3" eb="5">
      <t>カンキョウ</t>
    </rPh>
    <rPh sb="5" eb="7">
      <t>セイギョ</t>
    </rPh>
    <rPh sb="7" eb="8">
      <t>バン</t>
    </rPh>
    <phoneticPr fontId="2"/>
  </si>
  <si>
    <t>④複合環境制御盤入替工事</t>
    <rPh sb="1" eb="3">
      <t>フクゴウ</t>
    </rPh>
    <rPh sb="3" eb="5">
      <t>カンキョウ</t>
    </rPh>
    <rPh sb="5" eb="7">
      <t>セイギョ</t>
    </rPh>
    <rPh sb="7" eb="8">
      <t>バン</t>
    </rPh>
    <rPh sb="8" eb="10">
      <t>イレカエ</t>
    </rPh>
    <rPh sb="10" eb="12">
      <t>コウジ</t>
    </rPh>
    <phoneticPr fontId="2"/>
  </si>
  <si>
    <t>④SG・MC電源工事（2次側）資材費込み(5mまで)</t>
    <rPh sb="6" eb="8">
      <t>デンゲン</t>
    </rPh>
    <rPh sb="8" eb="10">
      <t>コウジ</t>
    </rPh>
    <rPh sb="12" eb="13">
      <t>ジ</t>
    </rPh>
    <rPh sb="13" eb="14">
      <t>ガワ</t>
    </rPh>
    <rPh sb="15" eb="17">
      <t>シザイ</t>
    </rPh>
    <rPh sb="17" eb="18">
      <t>ヒ</t>
    </rPh>
    <rPh sb="18" eb="19">
      <t>コミ</t>
    </rPh>
    <phoneticPr fontId="2"/>
  </si>
  <si>
    <t>○煙突ｾｯﾄ             φ250*3本+Pﾄｯﾌﾟ</t>
  </si>
  <si>
    <t xml:space="preserve"> ｾｯﾄ</t>
  </si>
  <si>
    <t>④機器配線接続工事 （配線資材費別）</t>
    <rPh sb="1" eb="3">
      <t>キキ</t>
    </rPh>
    <rPh sb="3" eb="5">
      <t>ハイセン</t>
    </rPh>
    <rPh sb="5" eb="7">
      <t>セツゾク</t>
    </rPh>
    <rPh sb="11" eb="13">
      <t>ハイセン</t>
    </rPh>
    <rPh sb="13" eb="15">
      <t>シザイ</t>
    </rPh>
    <rPh sb="15" eb="16">
      <t>ヒ</t>
    </rPh>
    <rPh sb="16" eb="17">
      <t>ベツ</t>
    </rPh>
    <phoneticPr fontId="2"/>
  </si>
  <si>
    <t>ﾈﾎﾟﾝﾌｧﾝ FAN-400T</t>
    <phoneticPr fontId="2"/>
  </si>
  <si>
    <t>○ｸﾞﾘｰﾝｿｰﾗ          RHE-154C</t>
    <phoneticPr fontId="2"/>
  </si>
  <si>
    <t>②煙突支持金具</t>
    <phoneticPr fontId="2"/>
  </si>
  <si>
    <t>②既設制御盤処分費</t>
    <rPh sb="1" eb="3">
      <t>キセツ</t>
    </rPh>
    <rPh sb="3" eb="5">
      <t>セイギョ</t>
    </rPh>
    <rPh sb="5" eb="6">
      <t>バン</t>
    </rPh>
    <rPh sb="6" eb="8">
      <t>ショブン</t>
    </rPh>
    <rPh sb="8" eb="9">
      <t>ヒ</t>
    </rPh>
    <phoneticPr fontId="2"/>
  </si>
  <si>
    <t>油配管（単独25A）</t>
  </si>
  <si>
    <t>○ｺｰﾅｰﾀﾞｸﾄ           T-63</t>
    <phoneticPr fontId="2"/>
  </si>
  <si>
    <t>④根伐り埋戻し工事</t>
  </si>
  <si>
    <t>ﾈﾎﾟﾝﾌｧﾝ FAN-302T</t>
    <phoneticPr fontId="2"/>
  </si>
  <si>
    <t>油配管（集中25A）</t>
  </si>
  <si>
    <t>○煙突ｾｯﾄ             φ300*3本+Pﾄｯﾌﾟ</t>
  </si>
  <si>
    <t>地下ﾀﾝｸ　　5000L</t>
    <phoneticPr fontId="2"/>
  </si>
  <si>
    <t>①地下ﾀﾝｸ             5000ﾘｯﾄﾙ</t>
  </si>
  <si>
    <t>④防蝕処理            5000ﾘｯﾄﾙ</t>
  </si>
  <si>
    <t>①注油口　            65A</t>
  </si>
  <si>
    <t>①通気口　            32A</t>
  </si>
  <si>
    <t>②ﾏﾝﾎｰﾙ　            φ800</t>
  </si>
  <si>
    <t>②ﾏﾝﾎｰﾙ　            φ700</t>
  </si>
  <si>
    <t>①保温（亀甲巻き）    80A</t>
  </si>
  <si>
    <t>○ﾛｰﾘｰｱｰｽ</t>
  </si>
  <si>
    <t>④部材取付け費</t>
  </si>
  <si>
    <t>ｵｲﾙﾀﾝｸ　900L</t>
    <phoneticPr fontId="2"/>
  </si>
  <si>
    <t>○ｵｲﾙﾀﾝｸ              900L</t>
    <phoneticPr fontId="2"/>
  </si>
  <si>
    <t>①ﾌﾚｷｼﾞｮｲﾝﾄ(U)        25A*300L</t>
  </si>
  <si>
    <t>○煙突ｾｯﾄ             φ350*3本+Pﾄｯﾌﾟ</t>
  </si>
  <si>
    <t>①注油口              50A</t>
  </si>
  <si>
    <t>BOT-490（防油堤付）</t>
  </si>
  <si>
    <t>○ｵｲﾙﾀﾝｸ              BOT-490</t>
    <phoneticPr fontId="2"/>
  </si>
  <si>
    <t>○防油堤      BYT-490K</t>
    <rPh sb="1" eb="2">
      <t>ボウ</t>
    </rPh>
    <rPh sb="2" eb="3">
      <t>ユ</t>
    </rPh>
    <rPh sb="3" eb="4">
      <t>テイ</t>
    </rPh>
    <phoneticPr fontId="2"/>
  </si>
  <si>
    <t xml:space="preserve"> 基</t>
  </si>
  <si>
    <t>①SGP鋼管(白)　25A</t>
  </si>
  <si>
    <t>①ﾏﾚｰﾌﾞﾙ弁　25A</t>
  </si>
  <si>
    <t>①逃し管ｾｯﾄ            BOP-EP8M</t>
  </si>
  <si>
    <t>KS-399SZ（防油堤付）</t>
    <phoneticPr fontId="2"/>
  </si>
  <si>
    <t>○ｵｲﾙﾀﾝｸ   KS1-399SZ</t>
    <phoneticPr fontId="2"/>
  </si>
  <si>
    <t>○防油堤           AL-500G</t>
    <rPh sb="1" eb="2">
      <t>ボウ</t>
    </rPh>
    <rPh sb="2" eb="3">
      <t>ユ</t>
    </rPh>
    <rPh sb="3" eb="4">
      <t>テイ</t>
    </rPh>
    <phoneticPr fontId="2"/>
  </si>
  <si>
    <t>①ﾏﾚｰﾌﾞﾙ弁            25A</t>
  </si>
  <si>
    <t>④配管継手類</t>
  </si>
  <si>
    <t>KS2-490SJ（防油堤付）</t>
    <phoneticPr fontId="2"/>
  </si>
  <si>
    <t>○ｵｲﾙﾀﾝｸ              KS2-490SJ</t>
    <phoneticPr fontId="2"/>
  </si>
  <si>
    <t>コードNo</t>
    <phoneticPr fontId="2"/>
  </si>
  <si>
    <t>名称</t>
    <rPh sb="0" eb="2">
      <t>メイショウ</t>
    </rPh>
    <phoneticPr fontId="2"/>
  </si>
  <si>
    <t>金額</t>
    <rPh sb="0" eb="2">
      <t>キンガク</t>
    </rPh>
    <phoneticPr fontId="2"/>
  </si>
  <si>
    <t>人工</t>
    <rPh sb="0" eb="1">
      <t>ニン</t>
    </rPh>
    <rPh sb="1" eb="2">
      <t>コウ</t>
    </rPh>
    <phoneticPr fontId="2"/>
  </si>
  <si>
    <t>ﾊｳｽｶｵﾝｷ　7･4型</t>
    <rPh sb="11" eb="12">
      <t>カタ</t>
    </rPh>
    <phoneticPr fontId="2"/>
  </si>
  <si>
    <t>m3</t>
    <phoneticPr fontId="2"/>
  </si>
  <si>
    <t>002311</t>
    <phoneticPr fontId="2"/>
  </si>
  <si>
    <t>HK1527TCV</t>
    <phoneticPr fontId="2"/>
  </si>
  <si>
    <r>
      <t>0</t>
    </r>
    <r>
      <rPr>
        <sz val="11"/>
        <rFont val="ＭＳ Ｐゴシック"/>
        <family val="3"/>
        <charset val="128"/>
      </rPr>
      <t>02312</t>
    </r>
    <phoneticPr fontId="2"/>
  </si>
  <si>
    <t>HK1527TEV</t>
    <phoneticPr fontId="2"/>
  </si>
  <si>
    <r>
      <t>0</t>
    </r>
    <r>
      <rPr>
        <sz val="11"/>
        <rFont val="ＭＳ Ｐゴシック"/>
        <family val="3"/>
        <charset val="128"/>
      </rPr>
      <t>02313</t>
    </r>
    <phoneticPr fontId="2"/>
  </si>
  <si>
    <t>HK2027TCV</t>
    <phoneticPr fontId="2"/>
  </si>
  <si>
    <t>ﾊｳｽｶｵﾝｷ　付属品</t>
    <rPh sb="8" eb="10">
      <t>フゾク</t>
    </rPh>
    <rPh sb="10" eb="11">
      <t>ヒン</t>
    </rPh>
    <phoneticPr fontId="2"/>
  </si>
  <si>
    <t>ｇｄ3</t>
    <phoneticPr fontId="2"/>
  </si>
  <si>
    <r>
      <t>0</t>
    </r>
    <r>
      <rPr>
        <sz val="11"/>
        <rFont val="ＭＳ Ｐゴシック"/>
        <family val="3"/>
        <charset val="128"/>
      </rPr>
      <t>02314</t>
    </r>
    <phoneticPr fontId="2"/>
  </si>
  <si>
    <t>HK2027TEV</t>
    <phoneticPr fontId="2"/>
  </si>
  <si>
    <t>小型温風機・炭酸ｶﾞｽ発生機</t>
    <rPh sb="0" eb="2">
      <t>コガタ</t>
    </rPh>
    <rPh sb="2" eb="4">
      <t>オンプウ</t>
    </rPh>
    <rPh sb="4" eb="5">
      <t>キ</t>
    </rPh>
    <rPh sb="6" eb="8">
      <t>タンサン</t>
    </rPh>
    <rPh sb="11" eb="13">
      <t>ハッセイキ</t>
    </rPh>
    <rPh sb="13" eb="14">
      <t>キ</t>
    </rPh>
    <phoneticPr fontId="2"/>
  </si>
  <si>
    <r>
      <t>0</t>
    </r>
    <r>
      <rPr>
        <sz val="11"/>
        <rFont val="ＭＳ Ｐゴシック"/>
        <family val="3"/>
        <charset val="128"/>
      </rPr>
      <t>02559</t>
    </r>
    <phoneticPr fontId="2"/>
  </si>
  <si>
    <t>HK2027TRV</t>
    <phoneticPr fontId="2"/>
  </si>
  <si>
    <r>
      <t>0</t>
    </r>
    <r>
      <rPr>
        <sz val="11"/>
        <rFont val="ＭＳ Ｐゴシック"/>
        <family val="3"/>
        <charset val="128"/>
      </rPr>
      <t>02315</t>
    </r>
    <phoneticPr fontId="2"/>
  </si>
  <si>
    <t>HK3027TCV</t>
    <phoneticPr fontId="2"/>
  </si>
  <si>
    <t>ah3</t>
    <phoneticPr fontId="2"/>
  </si>
  <si>
    <r>
      <t>0</t>
    </r>
    <r>
      <rPr>
        <sz val="11"/>
        <rFont val="ＭＳ Ｐゴシック"/>
        <family val="3"/>
        <charset val="128"/>
      </rPr>
      <t>02316</t>
    </r>
    <phoneticPr fontId="2"/>
  </si>
  <si>
    <t>HK3027TEV</t>
    <phoneticPr fontId="2"/>
  </si>
  <si>
    <t>ao3</t>
    <phoneticPr fontId="2"/>
  </si>
  <si>
    <r>
      <t>0</t>
    </r>
    <r>
      <rPr>
        <sz val="11"/>
        <rFont val="ＭＳ Ｐゴシック"/>
        <family val="3"/>
        <charset val="128"/>
      </rPr>
      <t>02317</t>
    </r>
    <phoneticPr fontId="2"/>
  </si>
  <si>
    <t>HK3027TFV</t>
    <phoneticPr fontId="2"/>
  </si>
  <si>
    <t>ヒートップ</t>
    <phoneticPr fontId="2"/>
  </si>
  <si>
    <t>gk3</t>
    <phoneticPr fontId="2"/>
  </si>
  <si>
    <r>
      <t>0</t>
    </r>
    <r>
      <rPr>
        <sz val="11"/>
        <rFont val="ＭＳ Ｐゴシック"/>
        <family val="3"/>
        <charset val="128"/>
      </rPr>
      <t>02560</t>
    </r>
    <phoneticPr fontId="2"/>
  </si>
  <si>
    <t>HK3027TRV</t>
    <phoneticPr fontId="2"/>
  </si>
  <si>
    <t>煙道・煙突関連部材</t>
    <rPh sb="0" eb="2">
      <t>エンドウ</t>
    </rPh>
    <rPh sb="3" eb="5">
      <t>エントツ</t>
    </rPh>
    <rPh sb="5" eb="7">
      <t>カンレン</t>
    </rPh>
    <rPh sb="7" eb="8">
      <t>ブ</t>
    </rPh>
    <rPh sb="8" eb="9">
      <t>ザイ</t>
    </rPh>
    <phoneticPr fontId="2"/>
  </si>
  <si>
    <t>du3</t>
    <phoneticPr fontId="2"/>
  </si>
  <si>
    <r>
      <t>0</t>
    </r>
    <r>
      <rPr>
        <sz val="11"/>
        <rFont val="ＭＳ Ｐゴシック"/>
        <family val="3"/>
        <charset val="128"/>
      </rPr>
      <t>02318</t>
    </r>
    <phoneticPr fontId="2"/>
  </si>
  <si>
    <t>HK4027TCV</t>
    <phoneticPr fontId="2"/>
  </si>
  <si>
    <r>
      <t>0</t>
    </r>
    <r>
      <rPr>
        <sz val="11"/>
        <rFont val="ＭＳ Ｐゴシック"/>
        <family val="3"/>
        <charset val="128"/>
      </rPr>
      <t>02319</t>
    </r>
    <phoneticPr fontId="2"/>
  </si>
  <si>
    <t>HK4027TEV</t>
    <phoneticPr fontId="2"/>
  </si>
  <si>
    <t>av3</t>
    <phoneticPr fontId="2"/>
  </si>
  <si>
    <r>
      <t>0</t>
    </r>
    <r>
      <rPr>
        <sz val="11"/>
        <rFont val="ＭＳ Ｐゴシック"/>
        <family val="3"/>
        <charset val="128"/>
      </rPr>
      <t>02320</t>
    </r>
    <phoneticPr fontId="2"/>
  </si>
  <si>
    <t>HK4027TFV</t>
    <phoneticPr fontId="2"/>
  </si>
  <si>
    <t>bc3</t>
    <phoneticPr fontId="2"/>
  </si>
  <si>
    <r>
      <t>0</t>
    </r>
    <r>
      <rPr>
        <sz val="11"/>
        <rFont val="ＭＳ Ｐゴシック"/>
        <family val="3"/>
        <charset val="128"/>
      </rPr>
      <t>02561</t>
    </r>
    <phoneticPr fontId="2"/>
  </si>
  <si>
    <t>HK4027FRV</t>
    <phoneticPr fontId="2"/>
  </si>
  <si>
    <t>bj3</t>
    <phoneticPr fontId="2"/>
  </si>
  <si>
    <r>
      <t>0</t>
    </r>
    <r>
      <rPr>
        <sz val="11"/>
        <rFont val="ＭＳ Ｐゴシック"/>
        <family val="3"/>
        <charset val="128"/>
      </rPr>
      <t>02562</t>
    </r>
    <phoneticPr fontId="2"/>
  </si>
  <si>
    <t>HK4027GRV</t>
    <phoneticPr fontId="2"/>
  </si>
  <si>
    <t>ｇｓ3</t>
    <phoneticPr fontId="2"/>
  </si>
  <si>
    <r>
      <t>0</t>
    </r>
    <r>
      <rPr>
        <sz val="11"/>
        <rFont val="ＭＳ Ｐゴシック"/>
        <family val="3"/>
        <charset val="128"/>
      </rPr>
      <t>03371</t>
    </r>
    <phoneticPr fontId="2"/>
  </si>
  <si>
    <t>HK4027TYV</t>
    <phoneticPr fontId="2"/>
  </si>
  <si>
    <r>
      <t>0</t>
    </r>
    <r>
      <rPr>
        <sz val="11"/>
        <rFont val="ＭＳ Ｐゴシック"/>
        <family val="3"/>
        <charset val="128"/>
      </rPr>
      <t>02321</t>
    </r>
    <phoneticPr fontId="2"/>
  </si>
  <si>
    <t>HK5027TCV</t>
    <phoneticPr fontId="2"/>
  </si>
  <si>
    <t>bq3</t>
    <phoneticPr fontId="2"/>
  </si>
  <si>
    <r>
      <t>0</t>
    </r>
    <r>
      <rPr>
        <sz val="11"/>
        <rFont val="ＭＳ Ｐゴシック"/>
        <family val="3"/>
        <charset val="128"/>
      </rPr>
      <t>02322</t>
    </r>
    <phoneticPr fontId="2"/>
  </si>
  <si>
    <t>HK5027TEV</t>
    <phoneticPr fontId="2"/>
  </si>
  <si>
    <t>循環ポンプ</t>
    <rPh sb="0" eb="2">
      <t>ジュンカン</t>
    </rPh>
    <phoneticPr fontId="2"/>
  </si>
  <si>
    <t>cl3</t>
    <phoneticPr fontId="2"/>
  </si>
  <si>
    <r>
      <t>0</t>
    </r>
    <r>
      <rPr>
        <sz val="11"/>
        <rFont val="ＭＳ Ｐゴシック"/>
        <family val="3"/>
        <charset val="128"/>
      </rPr>
      <t>02323</t>
    </r>
    <phoneticPr fontId="2"/>
  </si>
  <si>
    <t>HK5027TFV</t>
    <phoneticPr fontId="2"/>
  </si>
  <si>
    <t>ﾊﾟｯｹｰｼﾞｴｱｺﾝ</t>
    <phoneticPr fontId="2"/>
  </si>
  <si>
    <t>cs3</t>
    <phoneticPr fontId="2"/>
  </si>
  <si>
    <r>
      <t>0</t>
    </r>
    <r>
      <rPr>
        <sz val="11"/>
        <rFont val="ＭＳ Ｐゴシック"/>
        <family val="3"/>
        <charset val="128"/>
      </rPr>
      <t>02324</t>
    </r>
    <phoneticPr fontId="2"/>
  </si>
  <si>
    <t>HK6027TCV</t>
    <phoneticPr fontId="2"/>
  </si>
  <si>
    <t>ﾁﾗｰﾕﾆｯﾄ</t>
    <phoneticPr fontId="2"/>
  </si>
  <si>
    <t>cz3</t>
    <phoneticPr fontId="2"/>
  </si>
  <si>
    <r>
      <t>0</t>
    </r>
    <r>
      <rPr>
        <sz val="11"/>
        <rFont val="ＭＳ Ｐゴシック"/>
        <family val="3"/>
        <charset val="128"/>
      </rPr>
      <t>02325</t>
    </r>
    <phoneticPr fontId="2"/>
  </si>
  <si>
    <t>HK6027TEV</t>
    <phoneticPr fontId="2"/>
  </si>
  <si>
    <r>
      <t>0</t>
    </r>
    <r>
      <rPr>
        <sz val="11"/>
        <rFont val="ＭＳ Ｐゴシック"/>
        <family val="3"/>
        <charset val="128"/>
      </rPr>
      <t>02326</t>
    </r>
    <phoneticPr fontId="2"/>
  </si>
  <si>
    <t>HK6027TFV</t>
    <phoneticPr fontId="2"/>
  </si>
  <si>
    <t>蓄熱タンク</t>
    <rPh sb="0" eb="2">
      <t>チクネツ</t>
    </rPh>
    <phoneticPr fontId="2"/>
  </si>
  <si>
    <t>防油堤及びタンク基礎工事</t>
    <rPh sb="0" eb="3">
      <t>ボウユテイ</t>
    </rPh>
    <rPh sb="3" eb="4">
      <t>オヨ</t>
    </rPh>
    <rPh sb="8" eb="12">
      <t>キソコウジ</t>
    </rPh>
    <phoneticPr fontId="2"/>
  </si>
  <si>
    <r>
      <t>0</t>
    </r>
    <r>
      <rPr>
        <sz val="11"/>
        <rFont val="ＭＳ Ｐゴシック"/>
        <family val="3"/>
        <charset val="128"/>
      </rPr>
      <t>02465</t>
    </r>
    <phoneticPr fontId="2"/>
  </si>
  <si>
    <t>HK3024TCV</t>
    <phoneticPr fontId="2"/>
  </si>
  <si>
    <t>膨張ﾀﾝｸ</t>
    <rPh sb="0" eb="2">
      <t>ボウチョウ</t>
    </rPh>
    <phoneticPr fontId="2"/>
  </si>
  <si>
    <t>dg3</t>
    <phoneticPr fontId="2"/>
  </si>
  <si>
    <r>
      <t>0</t>
    </r>
    <r>
      <rPr>
        <sz val="11"/>
        <rFont val="ＭＳ Ｐゴシック"/>
        <family val="3"/>
        <charset val="128"/>
      </rPr>
      <t>02466</t>
    </r>
    <phoneticPr fontId="2"/>
  </si>
  <si>
    <t>HK3024TEV</t>
    <phoneticPr fontId="2"/>
  </si>
  <si>
    <t>dn3</t>
    <phoneticPr fontId="2"/>
  </si>
  <si>
    <r>
      <t>0</t>
    </r>
    <r>
      <rPr>
        <sz val="11"/>
        <rFont val="ＭＳ Ｐゴシック"/>
        <family val="3"/>
        <charset val="128"/>
      </rPr>
      <t>02467</t>
    </r>
    <phoneticPr fontId="2"/>
  </si>
  <si>
    <t>HK4024TCV</t>
    <phoneticPr fontId="2"/>
  </si>
  <si>
    <t>ダクト敷設工事</t>
    <rPh sb="3" eb="7">
      <t>フセツコウジ</t>
    </rPh>
    <phoneticPr fontId="2"/>
  </si>
  <si>
    <r>
      <t>0</t>
    </r>
    <r>
      <rPr>
        <sz val="11"/>
        <rFont val="ＭＳ Ｐゴシック"/>
        <family val="3"/>
        <charset val="128"/>
      </rPr>
      <t>02468</t>
    </r>
    <phoneticPr fontId="2"/>
  </si>
  <si>
    <t>HK4024TEV</t>
    <phoneticPr fontId="2"/>
  </si>
  <si>
    <r>
      <t>0</t>
    </r>
    <r>
      <rPr>
        <sz val="11"/>
        <rFont val="ＭＳ Ｐゴシック"/>
        <family val="3"/>
        <charset val="128"/>
      </rPr>
      <t>02469</t>
    </r>
    <phoneticPr fontId="2"/>
  </si>
  <si>
    <t>HK5024TCV</t>
    <phoneticPr fontId="2"/>
  </si>
  <si>
    <t>ｽﾁｰﾑﾌﾚｯｼｬ部材</t>
    <rPh sb="9" eb="10">
      <t>ブ</t>
    </rPh>
    <rPh sb="10" eb="11">
      <t>ザイ</t>
    </rPh>
    <phoneticPr fontId="2"/>
  </si>
  <si>
    <r>
      <t>0</t>
    </r>
    <r>
      <rPr>
        <sz val="11"/>
        <rFont val="ＭＳ Ｐゴシック"/>
        <family val="3"/>
        <charset val="128"/>
      </rPr>
      <t>02470</t>
    </r>
    <phoneticPr fontId="2"/>
  </si>
  <si>
    <t>HK5024TEV</t>
    <phoneticPr fontId="2"/>
  </si>
  <si>
    <r>
      <t>0</t>
    </r>
    <r>
      <rPr>
        <sz val="11"/>
        <rFont val="ＭＳ Ｐゴシック"/>
        <family val="3"/>
        <charset val="128"/>
      </rPr>
      <t>02471</t>
    </r>
    <phoneticPr fontId="2"/>
  </si>
  <si>
    <t>HK5024TFV</t>
    <phoneticPr fontId="2"/>
  </si>
  <si>
    <r>
      <t>0</t>
    </r>
    <r>
      <rPr>
        <sz val="11"/>
        <rFont val="ＭＳ Ｐゴシック"/>
        <family val="3"/>
        <charset val="128"/>
      </rPr>
      <t>02472</t>
    </r>
    <phoneticPr fontId="2"/>
  </si>
  <si>
    <t>HK6024TCV</t>
    <phoneticPr fontId="2"/>
  </si>
  <si>
    <r>
      <t>0</t>
    </r>
    <r>
      <rPr>
        <sz val="11"/>
        <rFont val="ＭＳ Ｐゴシック"/>
        <family val="3"/>
        <charset val="128"/>
      </rPr>
      <t>02473</t>
    </r>
    <phoneticPr fontId="2"/>
  </si>
  <si>
    <t>HK6024TEV</t>
    <phoneticPr fontId="2"/>
  </si>
  <si>
    <r>
      <t>0</t>
    </r>
    <r>
      <rPr>
        <sz val="11"/>
        <rFont val="ＭＳ Ｐゴシック"/>
        <family val="3"/>
        <charset val="128"/>
      </rPr>
      <t>02474</t>
    </r>
    <phoneticPr fontId="2"/>
  </si>
  <si>
    <t>HK6024TFV</t>
    <phoneticPr fontId="2"/>
  </si>
  <si>
    <r>
      <t>0</t>
    </r>
    <r>
      <rPr>
        <sz val="11"/>
        <rFont val="ＭＳ Ｐゴシック"/>
        <family val="3"/>
        <charset val="128"/>
      </rPr>
      <t>02795</t>
    </r>
    <phoneticPr fontId="2"/>
  </si>
  <si>
    <t>HK-8026TCV</t>
    <phoneticPr fontId="2"/>
  </si>
  <si>
    <r>
      <t>0</t>
    </r>
    <r>
      <rPr>
        <sz val="11"/>
        <rFont val="ＭＳ Ｐゴシック"/>
        <family val="3"/>
        <charset val="128"/>
      </rPr>
      <t>02796</t>
    </r>
    <phoneticPr fontId="2"/>
  </si>
  <si>
    <t>HK-8026TFV</t>
    <phoneticPr fontId="2"/>
  </si>
  <si>
    <t>’07.10.25訂正箇所は黄色に塗り→</t>
    <rPh sb="9" eb="11">
      <t>テイセイ</t>
    </rPh>
    <rPh sb="11" eb="13">
      <t>カショ</t>
    </rPh>
    <rPh sb="14" eb="16">
      <t>キイロ</t>
    </rPh>
    <rPh sb="17" eb="18">
      <t>ヌ</t>
    </rPh>
    <phoneticPr fontId="2"/>
  </si>
  <si>
    <r>
      <t>1</t>
    </r>
    <r>
      <rPr>
        <sz val="11"/>
        <rFont val="ＭＳ Ｐゴシック"/>
        <family val="3"/>
        <charset val="128"/>
      </rPr>
      <t>05905</t>
    </r>
    <phoneticPr fontId="2"/>
  </si>
  <si>
    <t>吹出口旋回セット</t>
    <rPh sb="0" eb="2">
      <t>フキダ</t>
    </rPh>
    <rPh sb="2" eb="3">
      <t>クチ</t>
    </rPh>
    <rPh sb="3" eb="5">
      <t>センカイ</t>
    </rPh>
    <phoneticPr fontId="2"/>
  </si>
  <si>
    <t>BFK-2270/3270</t>
    <phoneticPr fontId="2"/>
  </si>
  <si>
    <t>’08.04.25訂正箇所は黄色に塗り→</t>
    <rPh sb="9" eb="11">
      <t>テイセイ</t>
    </rPh>
    <rPh sb="11" eb="13">
      <t>カショ</t>
    </rPh>
    <rPh sb="14" eb="16">
      <t>キイロ</t>
    </rPh>
    <rPh sb="17" eb="18">
      <t>ヌ</t>
    </rPh>
    <phoneticPr fontId="2"/>
  </si>
  <si>
    <r>
      <t>1</t>
    </r>
    <r>
      <rPr>
        <sz val="11"/>
        <rFont val="ＭＳ Ｐゴシック"/>
        <family val="3"/>
        <charset val="128"/>
      </rPr>
      <t>05907</t>
    </r>
    <phoneticPr fontId="2"/>
  </si>
  <si>
    <t>BFK-4270</t>
    <phoneticPr fontId="2"/>
  </si>
  <si>
    <t>’08.05.30訂正箇所　35%UP→</t>
    <rPh sb="9" eb="11">
      <t>テイセイ</t>
    </rPh>
    <rPh sb="11" eb="13">
      <t>カショ</t>
    </rPh>
    <phoneticPr fontId="2"/>
  </si>
  <si>
    <r>
      <t>0</t>
    </r>
    <r>
      <rPr>
        <sz val="11"/>
        <rFont val="ＭＳ Ｐゴシック"/>
        <family val="3"/>
        <charset val="128"/>
      </rPr>
      <t>02578</t>
    </r>
    <phoneticPr fontId="2"/>
  </si>
  <si>
    <t>ﾊｳｽｶｵﾝｷ（静音型）</t>
    <rPh sb="8" eb="9">
      <t>セイ</t>
    </rPh>
    <rPh sb="9" eb="10">
      <t>オン</t>
    </rPh>
    <rPh sb="10" eb="11">
      <t>カタ</t>
    </rPh>
    <phoneticPr fontId="2"/>
  </si>
  <si>
    <t>HK2027GCSV</t>
    <phoneticPr fontId="2"/>
  </si>
  <si>
    <t>’08.06.01部品価格改定分→</t>
    <rPh sb="9" eb="11">
      <t>ブヒン</t>
    </rPh>
    <rPh sb="11" eb="13">
      <t>カカク</t>
    </rPh>
    <rPh sb="13" eb="15">
      <t>カイテイ</t>
    </rPh>
    <rPh sb="15" eb="16">
      <t>ブン</t>
    </rPh>
    <phoneticPr fontId="2"/>
  </si>
  <si>
    <r>
      <t>0</t>
    </r>
    <r>
      <rPr>
        <sz val="11"/>
        <rFont val="ＭＳ Ｐゴシック"/>
        <family val="3"/>
        <charset val="128"/>
      </rPr>
      <t>02579</t>
    </r>
    <phoneticPr fontId="2"/>
  </si>
  <si>
    <t>HK2027GESV</t>
    <phoneticPr fontId="2"/>
  </si>
  <si>
    <t>’08.12.02BTU価格改定分→</t>
    <rPh sb="12" eb="14">
      <t>カカク</t>
    </rPh>
    <rPh sb="14" eb="16">
      <t>カイテイ</t>
    </rPh>
    <rPh sb="16" eb="17">
      <t>ブン</t>
    </rPh>
    <phoneticPr fontId="2"/>
  </si>
  <si>
    <r>
      <t>0</t>
    </r>
    <r>
      <rPr>
        <sz val="11"/>
        <rFont val="ＭＳ Ｐゴシック"/>
        <family val="3"/>
        <charset val="128"/>
      </rPr>
      <t>02580</t>
    </r>
    <phoneticPr fontId="2"/>
  </si>
  <si>
    <t>HK3027GCSV</t>
    <phoneticPr fontId="2"/>
  </si>
  <si>
    <t>’09.04.01製品価格改訂分→</t>
    <rPh sb="9" eb="11">
      <t>セイヒン</t>
    </rPh>
    <rPh sb="11" eb="13">
      <t>カカク</t>
    </rPh>
    <rPh sb="13" eb="15">
      <t>カイテイ</t>
    </rPh>
    <rPh sb="15" eb="16">
      <t>ブン</t>
    </rPh>
    <phoneticPr fontId="2"/>
  </si>
  <si>
    <r>
      <t>0</t>
    </r>
    <r>
      <rPr>
        <sz val="11"/>
        <rFont val="ＭＳ Ｐゴシック"/>
        <family val="3"/>
        <charset val="128"/>
      </rPr>
      <t>02581</t>
    </r>
    <phoneticPr fontId="2"/>
  </si>
  <si>
    <t>HK3027GESV</t>
    <phoneticPr fontId="2"/>
  </si>
  <si>
    <r>
      <t>0</t>
    </r>
    <r>
      <rPr>
        <sz val="11"/>
        <rFont val="ＭＳ Ｐゴシック"/>
        <family val="3"/>
        <charset val="128"/>
      </rPr>
      <t>02582</t>
    </r>
    <phoneticPr fontId="2"/>
  </si>
  <si>
    <t>HK3027GFSV</t>
    <phoneticPr fontId="2"/>
  </si>
  <si>
    <r>
      <t>0</t>
    </r>
    <r>
      <rPr>
        <sz val="11"/>
        <rFont val="ＭＳ Ｐゴシック"/>
        <family val="3"/>
        <charset val="128"/>
      </rPr>
      <t>02583</t>
    </r>
    <phoneticPr fontId="2"/>
  </si>
  <si>
    <t>ﾊｳｽｶｵﾝｷ（静音型）</t>
  </si>
  <si>
    <t>HK4027GCSV</t>
    <phoneticPr fontId="2"/>
  </si>
  <si>
    <r>
      <t>0</t>
    </r>
    <r>
      <rPr>
        <sz val="11"/>
        <rFont val="ＭＳ Ｐゴシック"/>
        <family val="3"/>
        <charset val="128"/>
      </rPr>
      <t>02584</t>
    </r>
    <phoneticPr fontId="2"/>
  </si>
  <si>
    <t>HK4027GESV</t>
    <phoneticPr fontId="2"/>
  </si>
  <si>
    <r>
      <t>0</t>
    </r>
    <r>
      <rPr>
        <sz val="11"/>
        <rFont val="ＭＳ Ｐゴシック"/>
        <family val="3"/>
        <charset val="128"/>
      </rPr>
      <t>02585</t>
    </r>
    <phoneticPr fontId="2"/>
  </si>
  <si>
    <t>HK4027GFSV</t>
    <phoneticPr fontId="2"/>
  </si>
  <si>
    <r>
      <t>0</t>
    </r>
    <r>
      <rPr>
        <sz val="11"/>
        <rFont val="ＭＳ Ｐゴシック"/>
        <family val="3"/>
        <charset val="128"/>
      </rPr>
      <t>02586</t>
    </r>
    <phoneticPr fontId="2"/>
  </si>
  <si>
    <t>HK5027GCSV</t>
    <phoneticPr fontId="2"/>
  </si>
  <si>
    <r>
      <t>0</t>
    </r>
    <r>
      <rPr>
        <sz val="11"/>
        <rFont val="ＭＳ Ｐゴシック"/>
        <family val="3"/>
        <charset val="128"/>
      </rPr>
      <t>02587</t>
    </r>
    <phoneticPr fontId="2"/>
  </si>
  <si>
    <t>HK5027GESV</t>
    <phoneticPr fontId="2"/>
  </si>
  <si>
    <r>
      <t>0</t>
    </r>
    <r>
      <rPr>
        <sz val="11"/>
        <rFont val="ＭＳ Ｐゴシック"/>
        <family val="3"/>
        <charset val="128"/>
      </rPr>
      <t>02588</t>
    </r>
    <phoneticPr fontId="2"/>
  </si>
  <si>
    <t>HK5027GFSV</t>
    <phoneticPr fontId="2"/>
  </si>
  <si>
    <r>
      <t>0</t>
    </r>
    <r>
      <rPr>
        <sz val="11"/>
        <rFont val="ＭＳ Ｐゴシック"/>
        <family val="3"/>
        <charset val="128"/>
      </rPr>
      <t>02589</t>
    </r>
    <phoneticPr fontId="2"/>
  </si>
  <si>
    <t>HK6027GCSV</t>
    <phoneticPr fontId="2"/>
  </si>
  <si>
    <r>
      <t>0</t>
    </r>
    <r>
      <rPr>
        <sz val="11"/>
        <rFont val="ＭＳ Ｐゴシック"/>
        <family val="3"/>
        <charset val="128"/>
      </rPr>
      <t>02590</t>
    </r>
    <phoneticPr fontId="2"/>
  </si>
  <si>
    <t>HK6027GESV</t>
    <phoneticPr fontId="2"/>
  </si>
  <si>
    <r>
      <t>0</t>
    </r>
    <r>
      <rPr>
        <sz val="11"/>
        <rFont val="ＭＳ Ｐゴシック"/>
        <family val="3"/>
        <charset val="128"/>
      </rPr>
      <t>02591</t>
    </r>
    <phoneticPr fontId="2"/>
  </si>
  <si>
    <t>HK6027GFSV</t>
    <phoneticPr fontId="2"/>
  </si>
  <si>
    <r>
      <t>1</t>
    </r>
    <r>
      <rPr>
        <sz val="11"/>
        <rFont val="ＭＳ Ｐゴシック"/>
        <family val="3"/>
        <charset val="128"/>
      </rPr>
      <t>05922</t>
    </r>
    <phoneticPr fontId="2"/>
  </si>
  <si>
    <t>HK2027TCL</t>
    <phoneticPr fontId="2"/>
  </si>
  <si>
    <r>
      <t>1</t>
    </r>
    <r>
      <rPr>
        <sz val="11"/>
        <rFont val="ＭＳ Ｐゴシック"/>
        <family val="3"/>
        <charset val="128"/>
      </rPr>
      <t>05924</t>
    </r>
    <phoneticPr fontId="2"/>
  </si>
  <si>
    <t>HK2027TEL</t>
    <phoneticPr fontId="2"/>
  </si>
  <si>
    <r>
      <t>1</t>
    </r>
    <r>
      <rPr>
        <sz val="11"/>
        <rFont val="ＭＳ Ｐゴシック"/>
        <family val="3"/>
        <charset val="128"/>
      </rPr>
      <t>05926</t>
    </r>
    <phoneticPr fontId="2"/>
  </si>
  <si>
    <t>HK3027TCL</t>
    <phoneticPr fontId="2"/>
  </si>
  <si>
    <r>
      <t>1</t>
    </r>
    <r>
      <rPr>
        <sz val="11"/>
        <rFont val="ＭＳ Ｐゴシック"/>
        <family val="3"/>
        <charset val="128"/>
      </rPr>
      <t>05928</t>
    </r>
    <phoneticPr fontId="2"/>
  </si>
  <si>
    <t>HK3027TEL</t>
    <phoneticPr fontId="2"/>
  </si>
  <si>
    <r>
      <t>1</t>
    </r>
    <r>
      <rPr>
        <sz val="11"/>
        <rFont val="ＭＳ Ｐゴシック"/>
        <family val="3"/>
        <charset val="128"/>
      </rPr>
      <t>05930</t>
    </r>
    <phoneticPr fontId="2"/>
  </si>
  <si>
    <t>HK3027TFL</t>
    <phoneticPr fontId="2"/>
  </si>
  <si>
    <r>
      <t>1</t>
    </r>
    <r>
      <rPr>
        <sz val="11"/>
        <rFont val="ＭＳ Ｐゴシック"/>
        <family val="3"/>
        <charset val="128"/>
      </rPr>
      <t>05932</t>
    </r>
    <phoneticPr fontId="2"/>
  </si>
  <si>
    <t>HK4027TCL</t>
    <phoneticPr fontId="2"/>
  </si>
  <si>
    <r>
      <t>1</t>
    </r>
    <r>
      <rPr>
        <sz val="11"/>
        <rFont val="ＭＳ Ｐゴシック"/>
        <family val="3"/>
        <charset val="128"/>
      </rPr>
      <t>05934</t>
    </r>
    <phoneticPr fontId="2"/>
  </si>
  <si>
    <t>HK4027TEL</t>
    <phoneticPr fontId="2"/>
  </si>
  <si>
    <r>
      <t>1</t>
    </r>
    <r>
      <rPr>
        <sz val="11"/>
        <rFont val="ＭＳ Ｐゴシック"/>
        <family val="3"/>
        <charset val="128"/>
      </rPr>
      <t>05936</t>
    </r>
    <phoneticPr fontId="2"/>
  </si>
  <si>
    <t>HK4027TFL</t>
    <phoneticPr fontId="2"/>
  </si>
  <si>
    <r>
      <t>1</t>
    </r>
    <r>
      <rPr>
        <sz val="11"/>
        <rFont val="ＭＳ Ｐゴシック"/>
        <family val="3"/>
        <charset val="128"/>
      </rPr>
      <t>05938</t>
    </r>
    <phoneticPr fontId="2"/>
  </si>
  <si>
    <t>HK5027TCL</t>
    <phoneticPr fontId="2"/>
  </si>
  <si>
    <r>
      <t>1</t>
    </r>
    <r>
      <rPr>
        <sz val="11"/>
        <rFont val="ＭＳ Ｐゴシック"/>
        <family val="3"/>
        <charset val="128"/>
      </rPr>
      <t>05940</t>
    </r>
    <phoneticPr fontId="2"/>
  </si>
  <si>
    <t>HK5027TEL</t>
    <phoneticPr fontId="2"/>
  </si>
  <si>
    <r>
      <t>1</t>
    </r>
    <r>
      <rPr>
        <sz val="11"/>
        <rFont val="ＭＳ Ｐゴシック"/>
        <family val="3"/>
        <charset val="128"/>
      </rPr>
      <t>05942</t>
    </r>
    <phoneticPr fontId="2"/>
  </si>
  <si>
    <t>HK5027TFL</t>
    <phoneticPr fontId="2"/>
  </si>
  <si>
    <r>
      <t>1</t>
    </r>
    <r>
      <rPr>
        <sz val="11"/>
        <rFont val="ＭＳ Ｐゴシック"/>
        <family val="3"/>
        <charset val="128"/>
      </rPr>
      <t>05944</t>
    </r>
    <phoneticPr fontId="2"/>
  </si>
  <si>
    <t>HK6027TCL</t>
    <phoneticPr fontId="2"/>
  </si>
  <si>
    <r>
      <t>1</t>
    </r>
    <r>
      <rPr>
        <sz val="11"/>
        <rFont val="ＭＳ Ｐゴシック"/>
        <family val="3"/>
        <charset val="128"/>
      </rPr>
      <t>05946</t>
    </r>
    <phoneticPr fontId="2"/>
  </si>
  <si>
    <t>HK6027TEL</t>
    <phoneticPr fontId="2"/>
  </si>
  <si>
    <r>
      <t>1</t>
    </r>
    <r>
      <rPr>
        <sz val="11"/>
        <rFont val="ＭＳ Ｐゴシック"/>
        <family val="3"/>
        <charset val="128"/>
      </rPr>
      <t>05948</t>
    </r>
    <phoneticPr fontId="2"/>
  </si>
  <si>
    <t>HK6027TFL</t>
    <phoneticPr fontId="2"/>
  </si>
  <si>
    <r>
      <t>0</t>
    </r>
    <r>
      <rPr>
        <sz val="11"/>
        <rFont val="ＭＳ Ｐゴシック"/>
        <family val="3"/>
        <charset val="128"/>
      </rPr>
      <t>03268</t>
    </r>
    <phoneticPr fontId="2"/>
  </si>
  <si>
    <t>HK-8026TCL</t>
    <phoneticPr fontId="2"/>
  </si>
  <si>
    <r>
      <t>1</t>
    </r>
    <r>
      <rPr>
        <sz val="11"/>
        <rFont val="ＭＳ Ｐゴシック"/>
        <family val="3"/>
        <charset val="128"/>
      </rPr>
      <t>05923</t>
    </r>
    <phoneticPr fontId="2"/>
  </si>
  <si>
    <t>HK2027TCN</t>
    <phoneticPr fontId="2"/>
  </si>
  <si>
    <r>
      <t>1</t>
    </r>
    <r>
      <rPr>
        <sz val="11"/>
        <rFont val="ＭＳ Ｐゴシック"/>
        <family val="3"/>
        <charset val="128"/>
      </rPr>
      <t>05925</t>
    </r>
    <phoneticPr fontId="2"/>
  </si>
  <si>
    <t>HK2027TEN</t>
    <phoneticPr fontId="2"/>
  </si>
  <si>
    <r>
      <t>1</t>
    </r>
    <r>
      <rPr>
        <sz val="11"/>
        <rFont val="ＭＳ Ｐゴシック"/>
        <family val="3"/>
        <charset val="128"/>
      </rPr>
      <t>05927</t>
    </r>
    <phoneticPr fontId="2"/>
  </si>
  <si>
    <t>HK3027TCN</t>
    <phoneticPr fontId="2"/>
  </si>
  <si>
    <r>
      <t>1</t>
    </r>
    <r>
      <rPr>
        <sz val="11"/>
        <rFont val="ＭＳ Ｐゴシック"/>
        <family val="3"/>
        <charset val="128"/>
      </rPr>
      <t>05929</t>
    </r>
    <phoneticPr fontId="2"/>
  </si>
  <si>
    <t>HK3027TEN</t>
    <phoneticPr fontId="2"/>
  </si>
  <si>
    <r>
      <t>1</t>
    </r>
    <r>
      <rPr>
        <sz val="11"/>
        <rFont val="ＭＳ Ｐゴシック"/>
        <family val="3"/>
        <charset val="128"/>
      </rPr>
      <t>05931</t>
    </r>
    <phoneticPr fontId="2"/>
  </si>
  <si>
    <t>HK3027TFN</t>
    <phoneticPr fontId="2"/>
  </si>
  <si>
    <r>
      <t>1</t>
    </r>
    <r>
      <rPr>
        <sz val="11"/>
        <rFont val="ＭＳ Ｐゴシック"/>
        <family val="3"/>
        <charset val="128"/>
      </rPr>
      <t>05933</t>
    </r>
    <phoneticPr fontId="2"/>
  </si>
  <si>
    <t>HK4027TCN</t>
    <phoneticPr fontId="2"/>
  </si>
  <si>
    <r>
      <t>1</t>
    </r>
    <r>
      <rPr>
        <sz val="11"/>
        <rFont val="ＭＳ Ｐゴシック"/>
        <family val="3"/>
        <charset val="128"/>
      </rPr>
      <t>05935</t>
    </r>
    <phoneticPr fontId="2"/>
  </si>
  <si>
    <t>HK4027TEN</t>
    <phoneticPr fontId="2"/>
  </si>
  <si>
    <r>
      <t>1</t>
    </r>
    <r>
      <rPr>
        <sz val="11"/>
        <rFont val="ＭＳ Ｐゴシック"/>
        <family val="3"/>
        <charset val="128"/>
      </rPr>
      <t>05937</t>
    </r>
    <phoneticPr fontId="2"/>
  </si>
  <si>
    <t>HK4027TFN</t>
    <phoneticPr fontId="2"/>
  </si>
  <si>
    <r>
      <t>1</t>
    </r>
    <r>
      <rPr>
        <sz val="11"/>
        <rFont val="ＭＳ Ｐゴシック"/>
        <family val="3"/>
        <charset val="128"/>
      </rPr>
      <t>05939</t>
    </r>
    <phoneticPr fontId="2"/>
  </si>
  <si>
    <t>HK5027TCN</t>
    <phoneticPr fontId="2"/>
  </si>
  <si>
    <r>
      <t>1</t>
    </r>
    <r>
      <rPr>
        <sz val="11"/>
        <rFont val="ＭＳ Ｐゴシック"/>
        <family val="3"/>
        <charset val="128"/>
      </rPr>
      <t>05941</t>
    </r>
    <phoneticPr fontId="2"/>
  </si>
  <si>
    <t>HK5027TEN</t>
    <phoneticPr fontId="2"/>
  </si>
  <si>
    <r>
      <t>1</t>
    </r>
    <r>
      <rPr>
        <sz val="11"/>
        <rFont val="ＭＳ Ｐゴシック"/>
        <family val="3"/>
        <charset val="128"/>
      </rPr>
      <t>05943</t>
    </r>
    <phoneticPr fontId="2"/>
  </si>
  <si>
    <t>HK5027TFN</t>
    <phoneticPr fontId="2"/>
  </si>
  <si>
    <r>
      <t>1</t>
    </r>
    <r>
      <rPr>
        <sz val="11"/>
        <rFont val="ＭＳ Ｐゴシック"/>
        <family val="3"/>
        <charset val="128"/>
      </rPr>
      <t>05945</t>
    </r>
    <phoneticPr fontId="2"/>
  </si>
  <si>
    <t>HK6027TCN</t>
    <phoneticPr fontId="2"/>
  </si>
  <si>
    <r>
      <t>1</t>
    </r>
    <r>
      <rPr>
        <sz val="11"/>
        <rFont val="ＭＳ Ｐゴシック"/>
        <family val="3"/>
        <charset val="128"/>
      </rPr>
      <t>05947</t>
    </r>
    <phoneticPr fontId="2"/>
  </si>
  <si>
    <t>HK6027TEN</t>
    <phoneticPr fontId="2"/>
  </si>
  <si>
    <r>
      <t>1</t>
    </r>
    <r>
      <rPr>
        <sz val="11"/>
        <rFont val="ＭＳ Ｐゴシック"/>
        <family val="3"/>
        <charset val="128"/>
      </rPr>
      <t>05949</t>
    </r>
    <phoneticPr fontId="2"/>
  </si>
  <si>
    <t>HK6027TFN</t>
    <phoneticPr fontId="2"/>
  </si>
  <si>
    <r>
      <t>0</t>
    </r>
    <r>
      <rPr>
        <sz val="11"/>
        <rFont val="ＭＳ Ｐゴシック"/>
        <family val="3"/>
        <charset val="128"/>
      </rPr>
      <t>03269</t>
    </r>
    <phoneticPr fontId="2"/>
  </si>
  <si>
    <t>HK-8026TCN</t>
    <phoneticPr fontId="2"/>
  </si>
  <si>
    <r>
      <t>1</t>
    </r>
    <r>
      <rPr>
        <sz val="11"/>
        <rFont val="ＭＳ Ｐゴシック"/>
        <family val="3"/>
        <charset val="128"/>
      </rPr>
      <t>05366</t>
    </r>
    <phoneticPr fontId="2"/>
  </si>
  <si>
    <t>KA- 125</t>
    <phoneticPr fontId="2"/>
  </si>
  <si>
    <r>
      <t>1</t>
    </r>
    <r>
      <rPr>
        <sz val="11"/>
        <rFont val="ＭＳ Ｐゴシック"/>
        <family val="3"/>
        <charset val="128"/>
      </rPr>
      <t>05367</t>
    </r>
    <phoneticPr fontId="2"/>
  </si>
  <si>
    <t>KA- 205</t>
    <phoneticPr fontId="2"/>
  </si>
  <si>
    <r>
      <t>1</t>
    </r>
    <r>
      <rPr>
        <sz val="11"/>
        <rFont val="ＭＳ Ｐゴシック"/>
        <family val="3"/>
        <charset val="128"/>
      </rPr>
      <t>05368</t>
    </r>
    <phoneticPr fontId="2"/>
  </si>
  <si>
    <t>KA- 325</t>
    <phoneticPr fontId="2"/>
  </si>
  <si>
    <r>
      <t>1</t>
    </r>
    <r>
      <rPr>
        <sz val="11"/>
        <rFont val="ＭＳ Ｐゴシック"/>
        <family val="3"/>
        <charset val="128"/>
      </rPr>
      <t>05369</t>
    </r>
    <phoneticPr fontId="2"/>
  </si>
  <si>
    <t>KA- 325T</t>
    <phoneticPr fontId="2"/>
  </si>
  <si>
    <r>
      <t>0</t>
    </r>
    <r>
      <rPr>
        <sz val="11"/>
        <rFont val="ＭＳ Ｐゴシック"/>
        <family val="3"/>
        <charset val="128"/>
      </rPr>
      <t>06292</t>
    </r>
    <phoneticPr fontId="2"/>
  </si>
  <si>
    <t>KA- 405T</t>
    <phoneticPr fontId="2"/>
  </si>
  <si>
    <r>
      <t>1</t>
    </r>
    <r>
      <rPr>
        <sz val="11"/>
        <rFont val="ＭＳ Ｐゴシック"/>
        <family val="3"/>
        <charset val="128"/>
      </rPr>
      <t>05370</t>
    </r>
    <phoneticPr fontId="2"/>
  </si>
  <si>
    <r>
      <t>1</t>
    </r>
    <r>
      <rPr>
        <sz val="11"/>
        <rFont val="ＭＳ Ｐゴシック"/>
        <family val="3"/>
        <charset val="128"/>
      </rPr>
      <t>05371</t>
    </r>
    <phoneticPr fontId="2"/>
  </si>
  <si>
    <r>
      <t>1</t>
    </r>
    <r>
      <rPr>
        <sz val="11"/>
        <rFont val="ＭＳ Ｐゴシック"/>
        <family val="3"/>
        <charset val="128"/>
      </rPr>
      <t>05372</t>
    </r>
    <phoneticPr fontId="2"/>
  </si>
  <si>
    <r>
      <t>1</t>
    </r>
    <r>
      <rPr>
        <sz val="11"/>
        <rFont val="ＭＳ Ｐゴシック"/>
        <family val="3"/>
        <charset val="128"/>
      </rPr>
      <t>05373</t>
    </r>
    <phoneticPr fontId="2"/>
  </si>
  <si>
    <r>
      <t>0</t>
    </r>
    <r>
      <rPr>
        <sz val="11"/>
        <rFont val="ＭＳ Ｐゴシック"/>
        <family val="3"/>
        <charset val="128"/>
      </rPr>
      <t>06315</t>
    </r>
    <phoneticPr fontId="2"/>
  </si>
  <si>
    <t>KA- 405TE</t>
    <phoneticPr fontId="2"/>
  </si>
  <si>
    <r>
      <t>1</t>
    </r>
    <r>
      <rPr>
        <sz val="11"/>
        <rFont val="ＭＳ Ｐゴシック"/>
        <family val="3"/>
        <charset val="128"/>
      </rPr>
      <t>05793</t>
    </r>
    <phoneticPr fontId="2"/>
  </si>
  <si>
    <t>KA- 205F</t>
    <phoneticPr fontId="2"/>
  </si>
  <si>
    <r>
      <t>1</t>
    </r>
    <r>
      <rPr>
        <sz val="11"/>
        <rFont val="ＭＳ Ｐゴシック"/>
        <family val="3"/>
        <charset val="128"/>
      </rPr>
      <t>05794</t>
    </r>
    <phoneticPr fontId="2"/>
  </si>
  <si>
    <t>KA- 325F</t>
    <phoneticPr fontId="2"/>
  </si>
  <si>
    <r>
      <t>1</t>
    </r>
    <r>
      <rPr>
        <sz val="11"/>
        <rFont val="ＭＳ Ｐゴシック"/>
        <family val="3"/>
        <charset val="128"/>
      </rPr>
      <t>05795</t>
    </r>
    <phoneticPr fontId="2"/>
  </si>
  <si>
    <t>KA- 325TF</t>
    <phoneticPr fontId="2"/>
  </si>
  <si>
    <r>
      <t>6</t>
    </r>
    <r>
      <rPr>
        <sz val="11"/>
        <rFont val="ＭＳ Ｐゴシック"/>
        <family val="3"/>
        <charset val="128"/>
      </rPr>
      <t>50132</t>
    </r>
    <phoneticPr fontId="2"/>
  </si>
  <si>
    <t>炭酸ガス発生機</t>
    <rPh sb="0" eb="2">
      <t>タンサン</t>
    </rPh>
    <rPh sb="4" eb="6">
      <t>ハッセイ</t>
    </rPh>
    <rPh sb="6" eb="7">
      <t>キ</t>
    </rPh>
    <phoneticPr fontId="2"/>
  </si>
  <si>
    <r>
      <t>1</t>
    </r>
    <r>
      <rPr>
        <sz val="11"/>
        <rFont val="ＭＳ Ｐゴシック"/>
        <family val="3"/>
        <charset val="128"/>
      </rPr>
      <t>04632</t>
    </r>
    <phoneticPr fontId="2"/>
  </si>
  <si>
    <r>
      <t>1</t>
    </r>
    <r>
      <rPr>
        <sz val="11"/>
        <rFont val="ＭＳ Ｐゴシック"/>
        <family val="3"/>
        <charset val="128"/>
      </rPr>
      <t>04595</t>
    </r>
    <phoneticPr fontId="2"/>
  </si>
  <si>
    <r>
      <t>0</t>
    </r>
    <r>
      <rPr>
        <sz val="11"/>
        <rFont val="ＭＳ Ｐゴシック"/>
        <family val="3"/>
        <charset val="128"/>
      </rPr>
      <t>03662</t>
    </r>
    <phoneticPr fontId="2"/>
  </si>
  <si>
    <r>
      <t>1</t>
    </r>
    <r>
      <rPr>
        <sz val="11"/>
        <rFont val="ＭＳ Ｐゴシック"/>
        <family val="3"/>
        <charset val="128"/>
      </rPr>
      <t>04902</t>
    </r>
    <phoneticPr fontId="2"/>
  </si>
  <si>
    <r>
      <t>1</t>
    </r>
    <r>
      <rPr>
        <sz val="11"/>
        <rFont val="ＭＳ Ｐゴシック"/>
        <family val="3"/>
        <charset val="128"/>
      </rPr>
      <t>04903</t>
    </r>
    <phoneticPr fontId="2"/>
  </si>
  <si>
    <r>
      <t>0</t>
    </r>
    <r>
      <rPr>
        <sz val="11"/>
        <rFont val="ＭＳ Ｐゴシック"/>
        <family val="3"/>
        <charset val="128"/>
      </rPr>
      <t>05652</t>
    </r>
    <phoneticPr fontId="2"/>
  </si>
  <si>
    <t>炭酸ガス施用ﾕﾆｯﾄ</t>
    <rPh sb="0" eb="2">
      <t>タンサン</t>
    </rPh>
    <rPh sb="4" eb="6">
      <t>セヨウ</t>
    </rPh>
    <phoneticPr fontId="2"/>
  </si>
  <si>
    <t>BTU-1511</t>
    <phoneticPr fontId="2"/>
  </si>
  <si>
    <t>BTU-1521</t>
    <phoneticPr fontId="2"/>
  </si>
  <si>
    <t>BTU-2251</t>
    <phoneticPr fontId="2"/>
  </si>
  <si>
    <r>
      <t>1</t>
    </r>
    <r>
      <rPr>
        <sz val="11"/>
        <rFont val="ＭＳ Ｐゴシック"/>
        <family val="3"/>
        <charset val="128"/>
      </rPr>
      <t>05476</t>
    </r>
    <phoneticPr fontId="2"/>
  </si>
  <si>
    <t>HB-  407TGA</t>
    <phoneticPr fontId="2"/>
  </si>
  <si>
    <r>
      <t>1</t>
    </r>
    <r>
      <rPr>
        <sz val="11"/>
        <rFont val="ＭＳ Ｐゴシック"/>
        <family val="3"/>
        <charset val="128"/>
      </rPr>
      <t>05435</t>
    </r>
    <phoneticPr fontId="2"/>
  </si>
  <si>
    <t>HB-  607TGA</t>
    <phoneticPr fontId="2"/>
  </si>
  <si>
    <r>
      <t>1</t>
    </r>
    <r>
      <rPr>
        <sz val="11"/>
        <rFont val="ＭＳ Ｐゴシック"/>
        <family val="3"/>
        <charset val="128"/>
      </rPr>
      <t>05434</t>
    </r>
    <phoneticPr fontId="2"/>
  </si>
  <si>
    <t>HB-  807TGA</t>
    <phoneticPr fontId="2"/>
  </si>
  <si>
    <r>
      <t>1</t>
    </r>
    <r>
      <rPr>
        <sz val="11"/>
        <rFont val="ＭＳ Ｐゴシック"/>
        <family val="3"/>
        <charset val="128"/>
      </rPr>
      <t>05456</t>
    </r>
    <phoneticPr fontId="2"/>
  </si>
  <si>
    <t>HB- 1007TA</t>
    <phoneticPr fontId="2"/>
  </si>
  <si>
    <r>
      <t>1</t>
    </r>
    <r>
      <rPr>
        <sz val="11"/>
        <rFont val="ＭＳ Ｐゴシック"/>
        <family val="3"/>
        <charset val="128"/>
      </rPr>
      <t>05470</t>
    </r>
    <phoneticPr fontId="2"/>
  </si>
  <si>
    <t>HB- 1507TA</t>
    <phoneticPr fontId="2"/>
  </si>
  <si>
    <r>
      <t>1</t>
    </r>
    <r>
      <rPr>
        <sz val="11"/>
        <rFont val="ＭＳ Ｐゴシック"/>
        <family val="3"/>
        <charset val="128"/>
      </rPr>
      <t>05469</t>
    </r>
    <phoneticPr fontId="2"/>
  </si>
  <si>
    <t>HB- 2007TA</t>
    <phoneticPr fontId="2"/>
  </si>
  <si>
    <r>
      <t>1</t>
    </r>
    <r>
      <rPr>
        <sz val="11"/>
        <rFont val="ＭＳ Ｐゴシック"/>
        <family val="3"/>
        <charset val="128"/>
      </rPr>
      <t>05468</t>
    </r>
    <phoneticPr fontId="2"/>
  </si>
  <si>
    <t>HB- 3007TA</t>
    <phoneticPr fontId="2"/>
  </si>
  <si>
    <r>
      <t>1</t>
    </r>
    <r>
      <rPr>
        <sz val="11"/>
        <rFont val="ＭＳ Ｐゴシック"/>
        <family val="3"/>
        <charset val="128"/>
      </rPr>
      <t>05467</t>
    </r>
    <phoneticPr fontId="2"/>
  </si>
  <si>
    <t>HB- 4007TA</t>
    <phoneticPr fontId="2"/>
  </si>
  <si>
    <r>
      <t>0</t>
    </r>
    <r>
      <rPr>
        <sz val="11"/>
        <rFont val="ＭＳ Ｐゴシック"/>
        <family val="3"/>
        <charset val="128"/>
      </rPr>
      <t>05302</t>
    </r>
    <phoneticPr fontId="2"/>
  </si>
  <si>
    <r>
      <t>0</t>
    </r>
    <r>
      <rPr>
        <sz val="11"/>
        <rFont val="ＭＳ Ｐゴシック"/>
        <family val="3"/>
        <charset val="128"/>
      </rPr>
      <t>05324</t>
    </r>
    <phoneticPr fontId="2"/>
  </si>
  <si>
    <r>
      <t>0</t>
    </r>
    <r>
      <rPr>
        <sz val="11"/>
        <rFont val="ＭＳ Ｐゴシック"/>
        <family val="3"/>
        <charset val="128"/>
      </rPr>
      <t>05316</t>
    </r>
    <phoneticPr fontId="2"/>
  </si>
  <si>
    <t>ﾍﾟﾚｯﾄﾊｳｽﾎﾞｲﾗ</t>
    <phoneticPr fontId="2"/>
  </si>
  <si>
    <r>
      <t>PHB-1160T</t>
    </r>
    <r>
      <rPr>
        <sz val="11"/>
        <rFont val="ＭＳ Ｐゴシック"/>
        <family val="3"/>
        <charset val="128"/>
      </rPr>
      <t>WL</t>
    </r>
    <phoneticPr fontId="2"/>
  </si>
  <si>
    <r>
      <t>1</t>
    </r>
    <r>
      <rPr>
        <sz val="11"/>
        <rFont val="ＭＳ Ｐゴシック"/>
        <family val="3"/>
        <charset val="128"/>
      </rPr>
      <t>04297</t>
    </r>
    <phoneticPr fontId="2"/>
  </si>
  <si>
    <t>RWE-134E</t>
    <phoneticPr fontId="2"/>
  </si>
  <si>
    <r>
      <t>1</t>
    </r>
    <r>
      <rPr>
        <sz val="11"/>
        <rFont val="ＭＳ Ｐゴシック"/>
        <family val="3"/>
        <charset val="128"/>
      </rPr>
      <t>04295</t>
    </r>
    <phoneticPr fontId="2"/>
  </si>
  <si>
    <t>RWE-154C</t>
    <phoneticPr fontId="2"/>
  </si>
  <si>
    <r>
      <t>1</t>
    </r>
    <r>
      <rPr>
        <sz val="11"/>
        <rFont val="ＭＳ Ｐゴシック"/>
        <family val="3"/>
        <charset val="128"/>
      </rPr>
      <t>04304</t>
    </r>
    <phoneticPr fontId="2"/>
  </si>
  <si>
    <r>
      <t>1</t>
    </r>
    <r>
      <rPr>
        <sz val="11"/>
        <rFont val="ＭＳ Ｐゴシック"/>
        <family val="3"/>
        <charset val="128"/>
      </rPr>
      <t>04296</t>
    </r>
    <phoneticPr fontId="2"/>
  </si>
  <si>
    <r>
      <t>1</t>
    </r>
    <r>
      <rPr>
        <sz val="11"/>
        <rFont val="ＭＳ Ｐゴシック"/>
        <family val="3"/>
        <charset val="128"/>
      </rPr>
      <t>04445</t>
    </r>
    <phoneticPr fontId="2"/>
  </si>
  <si>
    <t>ﾊﾟﾈﾙﾌﾚｯｼｬｰ</t>
    <phoneticPr fontId="2"/>
  </si>
  <si>
    <t>HFP-1502</t>
    <phoneticPr fontId="2"/>
  </si>
  <si>
    <t>007382</t>
    <phoneticPr fontId="2"/>
  </si>
  <si>
    <t>NGP104TX</t>
    <phoneticPr fontId="2"/>
  </si>
  <si>
    <r>
      <t>0</t>
    </r>
    <r>
      <rPr>
        <sz val="11"/>
        <rFont val="ＭＳ Ｐゴシック"/>
        <family val="3"/>
        <charset val="128"/>
      </rPr>
      <t>05605</t>
    </r>
    <phoneticPr fontId="2"/>
  </si>
  <si>
    <t>NGP104T</t>
    <phoneticPr fontId="2"/>
  </si>
  <si>
    <r>
      <t>1</t>
    </r>
    <r>
      <rPr>
        <sz val="11"/>
        <rFont val="ＭＳ Ｐゴシック"/>
        <family val="3"/>
        <charset val="128"/>
      </rPr>
      <t>05332</t>
    </r>
    <phoneticPr fontId="2"/>
  </si>
  <si>
    <r>
      <t>0</t>
    </r>
    <r>
      <rPr>
        <sz val="11"/>
        <rFont val="ＭＳ Ｐゴシック"/>
        <family val="3"/>
        <charset val="128"/>
      </rPr>
      <t>04442</t>
    </r>
    <phoneticPr fontId="2"/>
  </si>
  <si>
    <t>FAN-301S1</t>
    <phoneticPr fontId="2"/>
  </si>
  <si>
    <r>
      <t>1</t>
    </r>
    <r>
      <rPr>
        <sz val="11"/>
        <rFont val="ＭＳ Ｐゴシック"/>
        <family val="3"/>
        <charset val="128"/>
      </rPr>
      <t>05903</t>
    </r>
    <phoneticPr fontId="2"/>
  </si>
  <si>
    <t>FAN-300T</t>
    <phoneticPr fontId="2"/>
  </si>
  <si>
    <r>
      <t>1</t>
    </r>
    <r>
      <rPr>
        <sz val="11"/>
        <rFont val="ＭＳ Ｐゴシック"/>
        <family val="3"/>
        <charset val="128"/>
      </rPr>
      <t>05493</t>
    </r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</si>
  <si>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100WLU7</t>
    </r>
    <r>
      <rPr>
        <sz val="11"/>
        <rFont val="ＭＳ Ｐゴシック"/>
        <family val="3"/>
        <charset val="128"/>
      </rPr>
      <t>(LPG)</t>
    </r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</si>
  <si>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100WLUP</t>
    </r>
    <r>
      <rPr>
        <sz val="11"/>
        <rFont val="ＭＳ Ｐゴシック"/>
        <family val="3"/>
        <charset val="128"/>
      </rPr>
      <t>(LPG水直)</t>
    </r>
    <rPh sb="15" eb="16">
      <t>ミズ</t>
    </rPh>
    <rPh sb="16" eb="17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</si>
  <si>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100WMU7</t>
    </r>
    <r>
      <rPr>
        <sz val="11"/>
        <rFont val="ＭＳ Ｐゴシック"/>
        <family val="3"/>
        <charset val="128"/>
      </rPr>
      <t>(12A)</t>
    </r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</si>
  <si>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100WMUP</t>
    </r>
    <r>
      <rPr>
        <sz val="11"/>
        <rFont val="ＭＳ Ｐゴシック"/>
        <family val="3"/>
        <charset val="128"/>
      </rPr>
      <t>(12A水直)</t>
    </r>
    <rPh sb="15" eb="16">
      <t>ミズ</t>
    </rPh>
    <rPh sb="16" eb="17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</si>
  <si>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100WNU7</t>
    </r>
    <r>
      <rPr>
        <sz val="11"/>
        <rFont val="ＭＳ Ｐゴシック"/>
        <family val="3"/>
        <charset val="128"/>
      </rPr>
      <t>(13A)</t>
    </r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</si>
  <si>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100WNUP</t>
    </r>
    <r>
      <rPr>
        <sz val="11"/>
        <rFont val="ＭＳ Ｐゴシック"/>
        <family val="3"/>
        <charset val="128"/>
      </rPr>
      <t>(13A水直)</t>
    </r>
    <rPh sb="15" eb="16">
      <t>ミズ</t>
    </rPh>
    <rPh sb="16" eb="17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</si>
  <si>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150HLT2</t>
    </r>
    <r>
      <rPr>
        <sz val="11"/>
        <rFont val="ＭＳ Ｐゴシック"/>
        <family val="3"/>
        <charset val="128"/>
      </rPr>
      <t>(LPG高温)</t>
    </r>
    <rPh sb="15" eb="17">
      <t>コウオン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</si>
  <si>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150HLTL</t>
    </r>
    <r>
      <rPr>
        <sz val="11"/>
        <rFont val="ＭＳ Ｐゴシック"/>
        <family val="3"/>
        <charset val="128"/>
      </rPr>
      <t>(LPG高温水直)</t>
    </r>
    <rPh sb="15" eb="17">
      <t>コウオン</t>
    </rPh>
    <rPh sb="17" eb="18">
      <t>ミズ</t>
    </rPh>
    <rPh sb="18" eb="19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</si>
  <si>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150HMT2</t>
    </r>
    <r>
      <rPr>
        <sz val="11"/>
        <rFont val="ＭＳ Ｐゴシック"/>
        <family val="3"/>
        <charset val="128"/>
      </rPr>
      <t>(12A高温)</t>
    </r>
    <rPh sb="15" eb="17">
      <t>コウオン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</si>
  <si>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150HMTL</t>
    </r>
    <r>
      <rPr>
        <sz val="11"/>
        <rFont val="ＭＳ Ｐゴシック"/>
        <family val="3"/>
        <charset val="128"/>
      </rPr>
      <t>(12A高温水直)</t>
    </r>
    <rPh sb="15" eb="17">
      <t>コウオン</t>
    </rPh>
    <rPh sb="17" eb="18">
      <t>ミズ</t>
    </rPh>
    <rPh sb="18" eb="19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</si>
  <si>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150HNT2</t>
    </r>
    <r>
      <rPr>
        <sz val="11"/>
        <rFont val="ＭＳ Ｐゴシック"/>
        <family val="3"/>
        <charset val="128"/>
      </rPr>
      <t>(13A高温)</t>
    </r>
    <rPh sb="15" eb="17">
      <t>コウオン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</si>
  <si>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150HNTL</t>
    </r>
    <r>
      <rPr>
        <sz val="11"/>
        <rFont val="ＭＳ Ｐゴシック"/>
        <family val="3"/>
        <charset val="128"/>
      </rPr>
      <t>(13A高温水直)</t>
    </r>
    <rPh sb="15" eb="17">
      <t>コウオン</t>
    </rPh>
    <rPh sb="17" eb="18">
      <t>ミズ</t>
    </rPh>
    <rPh sb="18" eb="19">
      <t>チョク</t>
    </rPh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</si>
  <si>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150WLT4</t>
    </r>
    <r>
      <rPr>
        <sz val="11"/>
        <rFont val="ＭＳ Ｐゴシック"/>
        <family val="3"/>
        <charset val="128"/>
      </rPr>
      <t>(LPG)</t>
    </r>
    <phoneticPr fontId="2"/>
  </si>
  <si>
    <r>
      <t>SBM</t>
    </r>
    <r>
      <rPr>
        <sz val="11"/>
        <rFont val="ＭＳ Ｐゴシック"/>
        <family val="3"/>
        <charset val="128"/>
      </rPr>
      <t>-</t>
    </r>
    <r>
      <rPr>
        <sz val="11"/>
        <rFont val="ＭＳ Ｐゴシック"/>
        <family val="3"/>
        <charset val="128"/>
      </rPr>
      <t>150WMT4</t>
    </r>
    <r>
      <rPr>
        <sz val="11"/>
        <rFont val="ＭＳ Ｐゴシック"/>
        <family val="3"/>
        <charset val="128"/>
      </rPr>
      <t>(12A)</t>
    </r>
    <phoneticPr fontId="2"/>
  </si>
  <si>
    <r>
      <t>SB</t>
    </r>
    <r>
      <rPr>
        <sz val="11"/>
        <rFont val="ＭＳ Ｐゴシック"/>
        <family val="3"/>
        <charset val="128"/>
      </rPr>
      <t>M-</t>
    </r>
    <r>
      <rPr>
        <sz val="11"/>
        <rFont val="ＭＳ Ｐゴシック"/>
        <family val="3"/>
        <charset val="128"/>
      </rPr>
      <t>150WNT4</t>
    </r>
    <r>
      <rPr>
        <sz val="11"/>
        <rFont val="ＭＳ Ｐゴシック"/>
        <family val="3"/>
        <charset val="128"/>
      </rPr>
      <t>(13A)</t>
    </r>
    <phoneticPr fontId="2"/>
  </si>
  <si>
    <t>SBB- 802HA</t>
    <phoneticPr fontId="2"/>
  </si>
  <si>
    <t>ｼﾝｸﾛﾋｰﾀ（中圧ﾊﾞｰﾅ)</t>
    <phoneticPr fontId="2"/>
  </si>
  <si>
    <t>SBB- 802HL</t>
    <phoneticPr fontId="2"/>
  </si>
  <si>
    <t>ｼﾝｸﾛﾋｰﾀ（中圧ﾊﾞｰﾅ)</t>
    <rPh sb="8" eb="9">
      <t>ナカ</t>
    </rPh>
    <rPh sb="9" eb="10">
      <t>アツ</t>
    </rPh>
    <phoneticPr fontId="2"/>
  </si>
  <si>
    <r>
      <t>1</t>
    </r>
    <r>
      <rPr>
        <sz val="11"/>
        <rFont val="ＭＳ Ｐゴシック"/>
        <family val="3"/>
        <charset val="128"/>
      </rPr>
      <t>06224</t>
    </r>
    <phoneticPr fontId="2"/>
  </si>
  <si>
    <r>
      <t>1</t>
    </r>
    <r>
      <rPr>
        <sz val="11"/>
        <rFont val="ＭＳ Ｐゴシック"/>
        <family val="3"/>
        <charset val="128"/>
      </rPr>
      <t>06226</t>
    </r>
    <phoneticPr fontId="2"/>
  </si>
  <si>
    <r>
      <t>1</t>
    </r>
    <r>
      <rPr>
        <sz val="11"/>
        <rFont val="ＭＳ Ｐゴシック"/>
        <family val="3"/>
        <charset val="128"/>
      </rPr>
      <t>06228</t>
    </r>
    <phoneticPr fontId="2"/>
  </si>
  <si>
    <r>
      <t>1</t>
    </r>
    <r>
      <rPr>
        <sz val="11"/>
        <rFont val="ＭＳ Ｐゴシック"/>
        <family val="3"/>
        <charset val="128"/>
      </rPr>
      <t>06230</t>
    </r>
    <phoneticPr fontId="2"/>
  </si>
  <si>
    <r>
      <t>1</t>
    </r>
    <r>
      <rPr>
        <sz val="11"/>
        <rFont val="ＭＳ Ｐゴシック"/>
        <family val="3"/>
        <charset val="128"/>
      </rPr>
      <t>06232</t>
    </r>
    <phoneticPr fontId="2"/>
  </si>
  <si>
    <r>
      <t>1</t>
    </r>
    <r>
      <rPr>
        <sz val="11"/>
        <rFont val="ＭＳ Ｐゴシック"/>
        <family val="3"/>
        <charset val="128"/>
      </rPr>
      <t>06211</t>
    </r>
    <phoneticPr fontId="2"/>
  </si>
  <si>
    <r>
      <t>1</t>
    </r>
    <r>
      <rPr>
        <sz val="11"/>
        <rFont val="ＭＳ Ｐゴシック"/>
        <family val="3"/>
        <charset val="128"/>
      </rPr>
      <t>06214</t>
    </r>
    <phoneticPr fontId="2"/>
  </si>
  <si>
    <r>
      <t>1</t>
    </r>
    <r>
      <rPr>
        <sz val="11"/>
        <rFont val="ＭＳ Ｐゴシック"/>
        <family val="3"/>
        <charset val="128"/>
      </rPr>
      <t>06216</t>
    </r>
    <phoneticPr fontId="2"/>
  </si>
  <si>
    <r>
      <t>1</t>
    </r>
    <r>
      <rPr>
        <sz val="11"/>
        <rFont val="ＭＳ Ｐゴシック"/>
        <family val="3"/>
        <charset val="128"/>
      </rPr>
      <t>06220</t>
    </r>
    <phoneticPr fontId="2"/>
  </si>
  <si>
    <r>
      <t>1</t>
    </r>
    <r>
      <rPr>
        <sz val="11"/>
        <rFont val="ＭＳ Ｐゴシック"/>
        <family val="3"/>
        <charset val="128"/>
      </rPr>
      <t>06222</t>
    </r>
    <phoneticPr fontId="2"/>
  </si>
  <si>
    <r>
      <t>1</t>
    </r>
    <r>
      <rPr>
        <sz val="11"/>
        <rFont val="ＭＳ Ｐゴシック"/>
        <family val="3"/>
        <charset val="128"/>
      </rPr>
      <t>06223</t>
    </r>
    <phoneticPr fontId="2"/>
  </si>
  <si>
    <r>
      <t>1</t>
    </r>
    <r>
      <rPr>
        <sz val="11"/>
        <rFont val="ＭＳ Ｐゴシック"/>
        <family val="3"/>
        <charset val="128"/>
      </rPr>
      <t>00817</t>
    </r>
    <phoneticPr fontId="2"/>
  </si>
  <si>
    <t>AWH- 501GL</t>
    <phoneticPr fontId="2"/>
  </si>
  <si>
    <r>
      <t>1</t>
    </r>
    <r>
      <rPr>
        <sz val="11"/>
        <rFont val="ＭＳ Ｐゴシック"/>
        <family val="3"/>
        <charset val="128"/>
      </rPr>
      <t>00820</t>
    </r>
    <phoneticPr fontId="2"/>
  </si>
  <si>
    <t>AWH- 601GL</t>
    <phoneticPr fontId="2"/>
  </si>
  <si>
    <r>
      <t>1</t>
    </r>
    <r>
      <rPr>
        <sz val="11"/>
        <rFont val="ＭＳ Ｐゴシック"/>
        <family val="3"/>
        <charset val="128"/>
      </rPr>
      <t>00825</t>
    </r>
    <phoneticPr fontId="2"/>
  </si>
  <si>
    <t>AWH- 701GL</t>
    <phoneticPr fontId="2"/>
  </si>
  <si>
    <r>
      <t>1</t>
    </r>
    <r>
      <rPr>
        <sz val="11"/>
        <rFont val="ＭＳ Ｐゴシック"/>
        <family val="3"/>
        <charset val="128"/>
      </rPr>
      <t>00828</t>
    </r>
    <phoneticPr fontId="2"/>
  </si>
  <si>
    <t>AWH- 801GL</t>
    <phoneticPr fontId="2"/>
  </si>
  <si>
    <r>
      <t>1</t>
    </r>
    <r>
      <rPr>
        <sz val="11"/>
        <rFont val="ＭＳ Ｐゴシック"/>
        <family val="3"/>
        <charset val="128"/>
      </rPr>
      <t>00834</t>
    </r>
    <phoneticPr fontId="2"/>
  </si>
  <si>
    <t>AWH- 901GL</t>
    <phoneticPr fontId="2"/>
  </si>
  <si>
    <r>
      <t>1</t>
    </r>
    <r>
      <rPr>
        <sz val="11"/>
        <rFont val="ＭＳ Ｐゴシック"/>
        <family val="3"/>
        <charset val="128"/>
      </rPr>
      <t>00837</t>
    </r>
    <phoneticPr fontId="2"/>
  </si>
  <si>
    <t>AWH-1001GL</t>
    <phoneticPr fontId="2"/>
  </si>
  <si>
    <r>
      <t>1</t>
    </r>
    <r>
      <rPr>
        <sz val="11"/>
        <rFont val="ＭＳ Ｐゴシック"/>
        <family val="3"/>
        <charset val="128"/>
      </rPr>
      <t>00840</t>
    </r>
    <phoneticPr fontId="2"/>
  </si>
  <si>
    <t>AWH-1201GL</t>
    <phoneticPr fontId="2"/>
  </si>
  <si>
    <r>
      <t>1</t>
    </r>
    <r>
      <rPr>
        <sz val="11"/>
        <rFont val="ＭＳ Ｐゴシック"/>
        <family val="3"/>
        <charset val="128"/>
      </rPr>
      <t>00846</t>
    </r>
    <phoneticPr fontId="2"/>
  </si>
  <si>
    <t>AWH-1501GL</t>
    <phoneticPr fontId="2"/>
  </si>
  <si>
    <r>
      <t>1</t>
    </r>
    <r>
      <rPr>
        <sz val="11"/>
        <rFont val="ＭＳ Ｐゴシック"/>
        <family val="3"/>
        <charset val="128"/>
      </rPr>
      <t>00849</t>
    </r>
    <phoneticPr fontId="2"/>
  </si>
  <si>
    <t>AWH-1801GL</t>
    <phoneticPr fontId="2"/>
  </si>
  <si>
    <r>
      <t>1</t>
    </r>
    <r>
      <rPr>
        <sz val="11"/>
        <rFont val="ＭＳ Ｐゴシック"/>
        <family val="3"/>
        <charset val="128"/>
      </rPr>
      <t>00860</t>
    </r>
    <phoneticPr fontId="2"/>
  </si>
  <si>
    <t>AWH-2001GL</t>
    <phoneticPr fontId="2"/>
  </si>
  <si>
    <r>
      <t>102</t>
    </r>
    <r>
      <rPr>
        <sz val="11"/>
        <rFont val="ＭＳ Ｐゴシック"/>
        <family val="3"/>
        <charset val="128"/>
      </rPr>
      <t>8</t>
    </r>
    <r>
      <rPr>
        <sz val="11"/>
        <rFont val="ＭＳ Ｐゴシック"/>
        <family val="3"/>
        <charset val="128"/>
      </rPr>
      <t>56</t>
    </r>
    <phoneticPr fontId="2"/>
  </si>
  <si>
    <t>HT-201E-2</t>
    <phoneticPr fontId="2"/>
  </si>
  <si>
    <r>
      <t>1</t>
    </r>
    <r>
      <rPr>
        <sz val="11"/>
        <rFont val="ＭＳ Ｐゴシック"/>
        <family val="3"/>
        <charset val="128"/>
      </rPr>
      <t>02857</t>
    </r>
    <phoneticPr fontId="2"/>
  </si>
  <si>
    <t>ﾋｰﾄｯﾌﾟ</t>
  </si>
  <si>
    <t>HT-321F-2</t>
    <phoneticPr fontId="2"/>
  </si>
  <si>
    <r>
      <t>1</t>
    </r>
    <r>
      <rPr>
        <sz val="11"/>
        <rFont val="ＭＳ Ｐゴシック"/>
        <family val="3"/>
        <charset val="128"/>
      </rPr>
      <t>02858</t>
    </r>
    <phoneticPr fontId="2"/>
  </si>
  <si>
    <t>HT-322E-2</t>
    <phoneticPr fontId="2"/>
  </si>
  <si>
    <r>
      <t>1</t>
    </r>
    <r>
      <rPr>
        <sz val="11"/>
        <rFont val="ＭＳ Ｐゴシック"/>
        <family val="3"/>
        <charset val="128"/>
      </rPr>
      <t>02859</t>
    </r>
    <phoneticPr fontId="2"/>
  </si>
  <si>
    <t>HT-322F-2</t>
    <phoneticPr fontId="2"/>
  </si>
  <si>
    <r>
      <t>1</t>
    </r>
    <r>
      <rPr>
        <sz val="11"/>
        <rFont val="ＭＳ Ｐゴシック"/>
        <family val="3"/>
        <charset val="128"/>
      </rPr>
      <t>05344</t>
    </r>
    <phoneticPr fontId="2"/>
  </si>
  <si>
    <r>
      <t>1</t>
    </r>
    <r>
      <rPr>
        <sz val="11"/>
        <rFont val="ＭＳ Ｐゴシック"/>
        <family val="3"/>
        <charset val="128"/>
      </rPr>
      <t>05345</t>
    </r>
    <phoneticPr fontId="2"/>
  </si>
  <si>
    <r>
      <t>1</t>
    </r>
    <r>
      <rPr>
        <sz val="11"/>
        <rFont val="ＭＳ Ｐゴシック"/>
        <family val="3"/>
        <charset val="128"/>
      </rPr>
      <t>05342</t>
    </r>
    <phoneticPr fontId="2"/>
  </si>
  <si>
    <r>
      <t>1</t>
    </r>
    <r>
      <rPr>
        <sz val="11"/>
        <rFont val="ＭＳ Ｐゴシック"/>
        <family val="3"/>
        <charset val="128"/>
      </rPr>
      <t>05343</t>
    </r>
    <phoneticPr fontId="2"/>
  </si>
  <si>
    <r>
      <t>1</t>
    </r>
    <r>
      <rPr>
        <sz val="11"/>
        <rFont val="ＭＳ Ｐゴシック"/>
        <family val="3"/>
        <charset val="128"/>
      </rPr>
      <t>03230</t>
    </r>
    <phoneticPr fontId="2"/>
  </si>
  <si>
    <t xml:space="preserve">BEP-3P 120A網付 </t>
    <phoneticPr fontId="2"/>
  </si>
  <si>
    <r>
      <t>1</t>
    </r>
    <r>
      <rPr>
        <sz val="11"/>
        <rFont val="ＭＳ Ｐゴシック"/>
        <family val="3"/>
        <charset val="128"/>
      </rPr>
      <t>04720</t>
    </r>
    <phoneticPr fontId="2"/>
  </si>
  <si>
    <t xml:space="preserve">BEP-3P 1504網付 </t>
    <phoneticPr fontId="2"/>
  </si>
  <si>
    <r>
      <t>1</t>
    </r>
    <r>
      <rPr>
        <sz val="11"/>
        <rFont val="ＭＳ Ｐゴシック"/>
        <family val="3"/>
        <charset val="128"/>
      </rPr>
      <t>02387</t>
    </r>
    <phoneticPr fontId="2"/>
  </si>
  <si>
    <t xml:space="preserve">BEP-3P 2252網付 </t>
    <phoneticPr fontId="2"/>
  </si>
  <si>
    <r>
      <t>1</t>
    </r>
    <r>
      <rPr>
        <sz val="11"/>
        <rFont val="ＭＳ Ｐゴシック"/>
        <family val="3"/>
        <charset val="128"/>
      </rPr>
      <t>01614</t>
    </r>
    <phoneticPr fontId="2"/>
  </si>
  <si>
    <t>φ175ｽﾃﾝﾚｽ3本入</t>
    <phoneticPr fontId="2"/>
  </si>
  <si>
    <r>
      <t>0</t>
    </r>
    <r>
      <rPr>
        <sz val="11"/>
        <rFont val="ＭＳ Ｐゴシック"/>
        <family val="3"/>
        <charset val="128"/>
      </rPr>
      <t>02290</t>
    </r>
    <phoneticPr fontId="2"/>
  </si>
  <si>
    <t xml:space="preserve">BEP-HB 1201     </t>
    <phoneticPr fontId="2"/>
  </si>
  <si>
    <r>
      <t>1</t>
    </r>
    <r>
      <rPr>
        <sz val="11"/>
        <rFont val="ＭＳ Ｐゴシック"/>
        <family val="3"/>
        <charset val="128"/>
      </rPr>
      <t>03811</t>
    </r>
    <phoneticPr fontId="2"/>
  </si>
  <si>
    <t xml:space="preserve">BEP-KA 1203     </t>
    <phoneticPr fontId="2"/>
  </si>
  <si>
    <r>
      <t>1</t>
    </r>
    <r>
      <rPr>
        <sz val="11"/>
        <rFont val="ＭＳ Ｐゴシック"/>
        <family val="3"/>
        <charset val="128"/>
      </rPr>
      <t>04598</t>
    </r>
    <phoneticPr fontId="2"/>
  </si>
  <si>
    <t>BEP-KA 120F</t>
    <phoneticPr fontId="2"/>
  </si>
  <si>
    <r>
      <t>1</t>
    </r>
    <r>
      <rPr>
        <sz val="11"/>
        <rFont val="ＭＳ Ｐゴシック"/>
        <family val="3"/>
        <charset val="128"/>
      </rPr>
      <t>04719</t>
    </r>
    <phoneticPr fontId="2"/>
  </si>
  <si>
    <t xml:space="preserve">BEP-20T 1504   </t>
    <phoneticPr fontId="2"/>
  </si>
  <si>
    <r>
      <t>1</t>
    </r>
    <r>
      <rPr>
        <sz val="11"/>
        <rFont val="ＭＳ Ｐゴシック"/>
        <family val="3"/>
        <charset val="128"/>
      </rPr>
      <t>02384</t>
    </r>
    <phoneticPr fontId="2"/>
  </si>
  <si>
    <t xml:space="preserve">BEP-20T 2252   </t>
    <phoneticPr fontId="2"/>
  </si>
  <si>
    <t>φ250*3本+Pﾄｯﾌﾟ</t>
    <phoneticPr fontId="2"/>
  </si>
  <si>
    <t>φ300*3本+Pﾄｯﾌﾟ</t>
    <phoneticPr fontId="2"/>
  </si>
  <si>
    <t>φ350*3本+Pﾄｯﾌﾟ</t>
    <phoneticPr fontId="2"/>
  </si>
  <si>
    <r>
      <t>1</t>
    </r>
    <r>
      <rPr>
        <sz val="11"/>
        <rFont val="ＭＳ Ｐゴシック"/>
        <family val="3"/>
        <charset val="128"/>
      </rPr>
      <t>05767</t>
    </r>
    <phoneticPr fontId="2"/>
  </si>
  <si>
    <t>ES- 1527</t>
    <phoneticPr fontId="2"/>
  </si>
  <si>
    <r>
      <t>1</t>
    </r>
    <r>
      <rPr>
        <sz val="11"/>
        <rFont val="ＭＳ Ｐゴシック"/>
        <family val="3"/>
        <charset val="128"/>
      </rPr>
      <t>05768</t>
    </r>
    <phoneticPr fontId="2"/>
  </si>
  <si>
    <t>ES- 2327</t>
    <phoneticPr fontId="2"/>
  </si>
  <si>
    <r>
      <t>1</t>
    </r>
    <r>
      <rPr>
        <sz val="11"/>
        <rFont val="ＭＳ Ｐゴシック"/>
        <family val="3"/>
        <charset val="128"/>
      </rPr>
      <t>05769</t>
    </r>
    <phoneticPr fontId="2"/>
  </si>
  <si>
    <t>ES- 4027</t>
    <phoneticPr fontId="2"/>
  </si>
  <si>
    <r>
      <t>1</t>
    </r>
    <r>
      <rPr>
        <sz val="11"/>
        <rFont val="ＭＳ Ｐゴシック"/>
        <family val="3"/>
        <charset val="128"/>
      </rPr>
      <t>05770</t>
    </r>
    <phoneticPr fontId="2"/>
  </si>
  <si>
    <t>ES- 5627</t>
    <phoneticPr fontId="2"/>
  </si>
  <si>
    <r>
      <t>1</t>
    </r>
    <r>
      <rPr>
        <sz val="11"/>
        <rFont val="ＭＳ Ｐゴシック"/>
        <family val="3"/>
        <charset val="128"/>
      </rPr>
      <t>04723</t>
    </r>
    <phoneticPr fontId="2"/>
  </si>
  <si>
    <r>
      <t>ES- 78</t>
    </r>
    <r>
      <rPr>
        <sz val="11"/>
        <rFont val="ＭＳ Ｐゴシック"/>
        <family val="3"/>
        <charset val="128"/>
      </rPr>
      <t>26</t>
    </r>
    <phoneticPr fontId="2"/>
  </si>
  <si>
    <r>
      <t>1</t>
    </r>
    <r>
      <rPr>
        <sz val="11"/>
        <rFont val="ＭＳ Ｐゴシック"/>
        <family val="3"/>
        <charset val="128"/>
      </rPr>
      <t>31550</t>
    </r>
    <phoneticPr fontId="2"/>
  </si>
  <si>
    <t>φ106</t>
    <phoneticPr fontId="2"/>
  </si>
  <si>
    <r>
      <t>3</t>
    </r>
    <r>
      <rPr>
        <sz val="11"/>
        <rFont val="ＭＳ Ｐゴシック"/>
        <family val="3"/>
        <charset val="128"/>
      </rPr>
      <t>08793</t>
    </r>
    <phoneticPr fontId="2"/>
  </si>
  <si>
    <t xml:space="preserve">φ120        </t>
    <phoneticPr fontId="2"/>
  </si>
  <si>
    <r>
      <t>1</t>
    </r>
    <r>
      <rPr>
        <sz val="11"/>
        <rFont val="ＭＳ Ｐゴシック"/>
        <family val="3"/>
        <charset val="128"/>
      </rPr>
      <t>81571</t>
    </r>
    <phoneticPr fontId="2"/>
  </si>
  <si>
    <t xml:space="preserve">φ150        </t>
    <phoneticPr fontId="2"/>
  </si>
  <si>
    <r>
      <t>1</t>
    </r>
    <r>
      <rPr>
        <sz val="11"/>
        <rFont val="ＭＳ Ｐゴシック"/>
        <family val="3"/>
        <charset val="128"/>
      </rPr>
      <t>31575</t>
    </r>
    <phoneticPr fontId="2"/>
  </si>
  <si>
    <t xml:space="preserve">φ175        </t>
    <phoneticPr fontId="2"/>
  </si>
  <si>
    <r>
      <t>3</t>
    </r>
    <r>
      <rPr>
        <sz val="11"/>
        <rFont val="ＭＳ Ｐゴシック"/>
        <family val="3"/>
        <charset val="128"/>
      </rPr>
      <t>08714</t>
    </r>
    <phoneticPr fontId="2"/>
  </si>
  <si>
    <t xml:space="preserve">φ225        </t>
    <phoneticPr fontId="2"/>
  </si>
  <si>
    <t xml:space="preserve">φ250        </t>
    <phoneticPr fontId="2"/>
  </si>
  <si>
    <t xml:space="preserve">φ300       </t>
    <phoneticPr fontId="2"/>
  </si>
  <si>
    <t xml:space="preserve">φ350        </t>
    <phoneticPr fontId="2"/>
  </si>
  <si>
    <r>
      <t>3</t>
    </r>
    <r>
      <rPr>
        <sz val="11"/>
        <rFont val="ＭＳ Ｐゴシック"/>
        <family val="3"/>
        <charset val="128"/>
      </rPr>
      <t>08796</t>
    </r>
    <phoneticPr fontId="2"/>
  </si>
  <si>
    <r>
      <t>3</t>
    </r>
    <r>
      <rPr>
        <sz val="11"/>
        <rFont val="ＭＳ Ｐゴシック"/>
        <family val="3"/>
        <charset val="128"/>
      </rPr>
      <t>08802</t>
    </r>
    <phoneticPr fontId="2"/>
  </si>
  <si>
    <r>
      <t>3</t>
    </r>
    <r>
      <rPr>
        <sz val="11"/>
        <rFont val="ＭＳ Ｐゴシック"/>
        <family val="3"/>
        <charset val="128"/>
      </rPr>
      <t>13348</t>
    </r>
    <phoneticPr fontId="2"/>
  </si>
  <si>
    <r>
      <t>3</t>
    </r>
    <r>
      <rPr>
        <sz val="11"/>
        <rFont val="ＭＳ Ｐゴシック"/>
        <family val="3"/>
        <charset val="128"/>
      </rPr>
      <t>22370</t>
    </r>
    <phoneticPr fontId="2"/>
  </si>
  <si>
    <r>
      <t>1</t>
    </r>
    <r>
      <rPr>
        <sz val="11"/>
        <rFont val="ＭＳ Ｐゴシック"/>
        <family val="3"/>
        <charset val="128"/>
      </rPr>
      <t>31771</t>
    </r>
    <phoneticPr fontId="2"/>
  </si>
  <si>
    <r>
      <t>1</t>
    </r>
    <r>
      <rPr>
        <sz val="11"/>
        <rFont val="ＭＳ Ｐゴシック"/>
        <family val="3"/>
        <charset val="128"/>
      </rPr>
      <t>31772</t>
    </r>
    <phoneticPr fontId="2"/>
  </si>
  <si>
    <r>
      <t>1</t>
    </r>
    <r>
      <rPr>
        <sz val="11"/>
        <rFont val="ＭＳ Ｐゴシック"/>
        <family val="3"/>
        <charset val="128"/>
      </rPr>
      <t>31776</t>
    </r>
    <phoneticPr fontId="2"/>
  </si>
  <si>
    <r>
      <t>3</t>
    </r>
    <r>
      <rPr>
        <sz val="11"/>
        <rFont val="ＭＳ Ｐゴシック"/>
        <family val="3"/>
        <charset val="128"/>
      </rPr>
      <t>13349</t>
    </r>
    <phoneticPr fontId="2"/>
  </si>
  <si>
    <r>
      <t>1</t>
    </r>
    <r>
      <rPr>
        <sz val="11"/>
        <rFont val="ＭＳ Ｐゴシック"/>
        <family val="3"/>
        <charset val="128"/>
      </rPr>
      <t>31637</t>
    </r>
    <phoneticPr fontId="2"/>
  </si>
  <si>
    <t>Ｈトップ</t>
  </si>
  <si>
    <t>Ｐトップ</t>
    <phoneticPr fontId="2"/>
  </si>
  <si>
    <t>Ｐトップ</t>
  </si>
  <si>
    <r>
      <t>2</t>
    </r>
    <r>
      <rPr>
        <sz val="11"/>
        <rFont val="ＭＳ Ｐゴシック"/>
        <family val="3"/>
        <charset val="128"/>
      </rPr>
      <t>02598</t>
    </r>
    <phoneticPr fontId="2"/>
  </si>
  <si>
    <t>煙道延長ｾｯﾄ</t>
    <phoneticPr fontId="2"/>
  </si>
  <si>
    <t xml:space="preserve">BEA-H-900  </t>
    <phoneticPr fontId="2"/>
  </si>
  <si>
    <r>
      <t>2</t>
    </r>
    <r>
      <rPr>
        <sz val="11"/>
        <rFont val="ＭＳ Ｐゴシック"/>
        <family val="3"/>
        <charset val="128"/>
      </rPr>
      <t>02600</t>
    </r>
    <phoneticPr fontId="2"/>
  </si>
  <si>
    <t xml:space="preserve">BEA-BF-900 </t>
    <phoneticPr fontId="2"/>
  </si>
  <si>
    <r>
      <t>2</t>
    </r>
    <r>
      <rPr>
        <sz val="11"/>
        <rFont val="ＭＳ Ｐゴシック"/>
        <family val="3"/>
        <charset val="128"/>
      </rPr>
      <t>02602</t>
    </r>
    <phoneticPr fontId="2"/>
  </si>
  <si>
    <t xml:space="preserve">BEA-DA-900 </t>
    <phoneticPr fontId="2"/>
  </si>
  <si>
    <r>
      <t>1</t>
    </r>
    <r>
      <rPr>
        <sz val="11"/>
        <rFont val="ＭＳ Ｐゴシック"/>
        <family val="3"/>
        <charset val="128"/>
      </rPr>
      <t>05442</t>
    </r>
    <phoneticPr fontId="2"/>
  </si>
  <si>
    <r>
      <t>BED-150</t>
    </r>
    <r>
      <rPr>
        <sz val="11"/>
        <rFont val="ＭＳ Ｐゴシック"/>
        <family val="3"/>
        <charset val="128"/>
      </rPr>
      <t>1</t>
    </r>
    <phoneticPr fontId="2"/>
  </si>
  <si>
    <r>
      <t>1</t>
    </r>
    <r>
      <rPr>
        <sz val="11"/>
        <rFont val="ＭＳ Ｐゴシック"/>
        <family val="3"/>
        <charset val="128"/>
      </rPr>
      <t>05443</t>
    </r>
    <phoneticPr fontId="2"/>
  </si>
  <si>
    <r>
      <t>BED-225</t>
    </r>
    <r>
      <rPr>
        <sz val="11"/>
        <rFont val="ＭＳ Ｐゴシック"/>
        <family val="3"/>
        <charset val="128"/>
      </rPr>
      <t>1</t>
    </r>
    <phoneticPr fontId="2"/>
  </si>
  <si>
    <t>煙突断熱材　直管</t>
    <rPh sb="0" eb="2">
      <t>エントツ</t>
    </rPh>
    <rPh sb="2" eb="5">
      <t>ダンネツザイ</t>
    </rPh>
    <rPh sb="6" eb="7">
      <t>チョク</t>
    </rPh>
    <rPh sb="7" eb="8">
      <t>カン</t>
    </rPh>
    <phoneticPr fontId="2"/>
  </si>
  <si>
    <r>
      <t>1</t>
    </r>
    <r>
      <rPr>
        <sz val="11"/>
        <rFont val="ＭＳ Ｐゴシック"/>
        <family val="3"/>
        <charset val="128"/>
      </rPr>
      <t>00789</t>
    </r>
    <phoneticPr fontId="2"/>
  </si>
  <si>
    <t>煙突消音器セット</t>
    <phoneticPr fontId="2"/>
  </si>
  <si>
    <r>
      <t>B</t>
    </r>
    <r>
      <rPr>
        <sz val="11"/>
        <rFont val="ＭＳ Ｐゴシック"/>
        <family val="3"/>
        <charset val="128"/>
      </rPr>
      <t>EM-1500</t>
    </r>
    <phoneticPr fontId="2"/>
  </si>
  <si>
    <r>
      <t>1</t>
    </r>
    <r>
      <rPr>
        <sz val="11"/>
        <rFont val="ＭＳ Ｐゴシック"/>
        <family val="3"/>
        <charset val="128"/>
      </rPr>
      <t>00806</t>
    </r>
    <phoneticPr fontId="2"/>
  </si>
  <si>
    <r>
      <t>B</t>
    </r>
    <r>
      <rPr>
        <sz val="11"/>
        <rFont val="ＭＳ Ｐゴシック"/>
        <family val="3"/>
        <charset val="128"/>
      </rPr>
      <t>EM-2250</t>
    </r>
    <phoneticPr fontId="2"/>
  </si>
  <si>
    <t>1100折幅   50m</t>
    <rPh sb="4" eb="6">
      <t>オリハバ</t>
    </rPh>
    <phoneticPr fontId="2"/>
  </si>
  <si>
    <t>巻</t>
    <phoneticPr fontId="2"/>
  </si>
  <si>
    <t>900折幅   50m</t>
    <rPh sb="3" eb="5">
      <t>オリハバ</t>
    </rPh>
    <phoneticPr fontId="2"/>
  </si>
  <si>
    <t>630折幅   50m</t>
    <rPh sb="3" eb="5">
      <t>オリハバ</t>
    </rPh>
    <phoneticPr fontId="2"/>
  </si>
  <si>
    <t>475折幅  200m</t>
    <rPh sb="3" eb="5">
      <t>オリハバ</t>
    </rPh>
    <phoneticPr fontId="2"/>
  </si>
  <si>
    <t>475折幅  100m</t>
    <rPh sb="3" eb="5">
      <t>オリハバ</t>
    </rPh>
    <phoneticPr fontId="2"/>
  </si>
  <si>
    <t>00折幅  200m</t>
    <rPh sb="2" eb="4">
      <t>オリハバ</t>
    </rPh>
    <phoneticPr fontId="2"/>
  </si>
  <si>
    <t>550折幅   100m</t>
    <rPh sb="3" eb="5">
      <t>オリハバ</t>
    </rPh>
    <phoneticPr fontId="2"/>
  </si>
  <si>
    <t>475折幅   100m</t>
    <rPh sb="3" eb="5">
      <t>オリハバ</t>
    </rPh>
    <phoneticPr fontId="2"/>
  </si>
  <si>
    <t>400折幅   100m</t>
    <rPh sb="3" eb="5">
      <t>オリハバ</t>
    </rPh>
    <phoneticPr fontId="2"/>
  </si>
  <si>
    <t>550折幅   200m(0.07)</t>
    <rPh sb="3" eb="5">
      <t>オリハバ</t>
    </rPh>
    <phoneticPr fontId="2"/>
  </si>
  <si>
    <t>475折幅   200m(0.07)</t>
    <rPh sb="3" eb="5">
      <t>オリハバ</t>
    </rPh>
    <phoneticPr fontId="2"/>
  </si>
  <si>
    <t>400折幅   200m(0.07)</t>
    <rPh sb="3" eb="5">
      <t>オリハバ</t>
    </rPh>
    <phoneticPr fontId="2"/>
  </si>
  <si>
    <t>630折幅   15m</t>
    <rPh sb="3" eb="5">
      <t>オリハバ</t>
    </rPh>
    <phoneticPr fontId="2"/>
  </si>
  <si>
    <t>630折幅   20m</t>
    <rPh sb="3" eb="5">
      <t>オリハバ</t>
    </rPh>
    <phoneticPr fontId="2"/>
  </si>
  <si>
    <t>630折幅   30m</t>
    <phoneticPr fontId="2"/>
  </si>
  <si>
    <t>630折幅   40m</t>
    <phoneticPr fontId="2"/>
  </si>
  <si>
    <t>630折幅   50m</t>
    <phoneticPr fontId="2"/>
  </si>
  <si>
    <t>900折幅   15m</t>
    <phoneticPr fontId="2"/>
  </si>
  <si>
    <t>900折幅   20m</t>
    <phoneticPr fontId="2"/>
  </si>
  <si>
    <t>900折幅   30m</t>
    <phoneticPr fontId="2"/>
  </si>
  <si>
    <t>900折幅   40m</t>
    <phoneticPr fontId="2"/>
  </si>
  <si>
    <t>900折幅   50m</t>
    <phoneticPr fontId="2"/>
  </si>
  <si>
    <t>1100折幅   15m</t>
    <phoneticPr fontId="2"/>
  </si>
  <si>
    <t>1100折幅   20m</t>
    <phoneticPr fontId="2"/>
  </si>
  <si>
    <t>1100折幅   30m</t>
    <phoneticPr fontId="2"/>
  </si>
  <si>
    <t>1100折幅   40m</t>
    <phoneticPr fontId="2"/>
  </si>
  <si>
    <t>1100折幅   50m</t>
    <phoneticPr fontId="2"/>
  </si>
  <si>
    <r>
      <t>L-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630   </t>
    </r>
    <phoneticPr fontId="2"/>
  </si>
  <si>
    <r>
      <t>L-</t>
    </r>
    <r>
      <rPr>
        <sz val="11"/>
        <rFont val="ＭＳ Ｐゴシック"/>
        <family val="3"/>
        <charset val="128"/>
      </rPr>
      <t xml:space="preserve"> </t>
    </r>
    <r>
      <rPr>
        <sz val="11"/>
        <rFont val="ＭＳ Ｐゴシック"/>
        <family val="3"/>
        <charset val="128"/>
      </rPr>
      <t xml:space="preserve">900   </t>
    </r>
    <phoneticPr fontId="2"/>
  </si>
  <si>
    <t xml:space="preserve">L- 1100  </t>
    <phoneticPr fontId="2"/>
  </si>
  <si>
    <t xml:space="preserve">T- 630   </t>
    <phoneticPr fontId="2"/>
  </si>
  <si>
    <t xml:space="preserve">T- 900   </t>
    <phoneticPr fontId="2"/>
  </si>
  <si>
    <t xml:space="preserve">T- 1100   </t>
    <phoneticPr fontId="2"/>
  </si>
  <si>
    <r>
      <t>1</t>
    </r>
    <r>
      <rPr>
        <sz val="11"/>
        <rFont val="ＭＳ Ｐゴシック"/>
        <family val="3"/>
        <charset val="128"/>
      </rPr>
      <t>32511</t>
    </r>
    <phoneticPr fontId="2"/>
  </si>
  <si>
    <t xml:space="preserve">DC-190   </t>
    <phoneticPr fontId="2"/>
  </si>
  <si>
    <r>
      <t>1</t>
    </r>
    <r>
      <rPr>
        <sz val="11"/>
        <rFont val="ＭＳ Ｐゴシック"/>
        <family val="3"/>
        <charset val="128"/>
      </rPr>
      <t>32513</t>
    </r>
    <phoneticPr fontId="2"/>
  </si>
  <si>
    <t xml:space="preserve">DC-250   </t>
    <phoneticPr fontId="2"/>
  </si>
  <si>
    <r>
      <t>1</t>
    </r>
    <r>
      <rPr>
        <sz val="11"/>
        <rFont val="ＭＳ Ｐゴシック"/>
        <family val="3"/>
        <charset val="128"/>
      </rPr>
      <t>32514</t>
    </r>
    <phoneticPr fontId="2"/>
  </si>
  <si>
    <t xml:space="preserve">DC-300   </t>
    <phoneticPr fontId="2"/>
  </si>
  <si>
    <r>
      <t>1</t>
    </r>
    <r>
      <rPr>
        <sz val="11"/>
        <rFont val="ＭＳ Ｐゴシック"/>
        <family val="3"/>
        <charset val="128"/>
      </rPr>
      <t>32515</t>
    </r>
    <phoneticPr fontId="2"/>
  </si>
  <si>
    <t xml:space="preserve">DC-350   </t>
    <phoneticPr fontId="2"/>
  </si>
  <si>
    <r>
      <t>1</t>
    </r>
    <r>
      <rPr>
        <sz val="11"/>
        <rFont val="ＭＳ Ｐゴシック"/>
        <family val="3"/>
        <charset val="128"/>
      </rPr>
      <t>32516</t>
    </r>
    <phoneticPr fontId="2"/>
  </si>
  <si>
    <t xml:space="preserve">DC-400   </t>
    <phoneticPr fontId="2"/>
  </si>
  <si>
    <r>
      <t>1</t>
    </r>
    <r>
      <rPr>
        <sz val="11"/>
        <rFont val="ＭＳ Ｐゴシック"/>
        <family val="3"/>
        <charset val="128"/>
      </rPr>
      <t>01645</t>
    </r>
    <phoneticPr fontId="2"/>
  </si>
  <si>
    <r>
      <t>1</t>
    </r>
    <r>
      <rPr>
        <sz val="11"/>
        <rFont val="ＭＳ Ｐゴシック"/>
        <family val="3"/>
        <charset val="128"/>
      </rPr>
      <t>01646</t>
    </r>
    <phoneticPr fontId="2"/>
  </si>
  <si>
    <r>
      <t>1</t>
    </r>
    <r>
      <rPr>
        <sz val="11"/>
        <rFont val="ＭＳ Ｐゴシック"/>
        <family val="3"/>
        <charset val="128"/>
      </rPr>
      <t>04027</t>
    </r>
    <phoneticPr fontId="2"/>
  </si>
  <si>
    <t xml:space="preserve">DC-191  </t>
    <phoneticPr fontId="2"/>
  </si>
  <si>
    <r>
      <t>1</t>
    </r>
    <r>
      <rPr>
        <sz val="11"/>
        <rFont val="ＭＳ Ｐゴシック"/>
        <family val="3"/>
        <charset val="128"/>
      </rPr>
      <t>04028</t>
    </r>
    <phoneticPr fontId="2"/>
  </si>
  <si>
    <t xml:space="preserve">DC-251   </t>
    <phoneticPr fontId="2"/>
  </si>
  <si>
    <r>
      <t>1</t>
    </r>
    <r>
      <rPr>
        <sz val="11"/>
        <rFont val="ＭＳ Ｐゴシック"/>
        <family val="3"/>
        <charset val="128"/>
      </rPr>
      <t>04029</t>
    </r>
    <phoneticPr fontId="2"/>
  </si>
  <si>
    <t xml:space="preserve">DC-301  </t>
    <phoneticPr fontId="2"/>
  </si>
  <si>
    <r>
      <t>1</t>
    </r>
    <r>
      <rPr>
        <sz val="11"/>
        <rFont val="ＭＳ Ｐゴシック"/>
        <family val="3"/>
        <charset val="128"/>
      </rPr>
      <t>04030</t>
    </r>
    <phoneticPr fontId="2"/>
  </si>
  <si>
    <t xml:space="preserve">DC-351   </t>
    <phoneticPr fontId="2"/>
  </si>
  <si>
    <r>
      <t>1</t>
    </r>
    <r>
      <rPr>
        <sz val="11"/>
        <rFont val="ＭＳ Ｐゴシック"/>
        <family val="3"/>
        <charset val="128"/>
      </rPr>
      <t>04032</t>
    </r>
    <phoneticPr fontId="2"/>
  </si>
  <si>
    <t xml:space="preserve">DC-401   </t>
    <phoneticPr fontId="2"/>
  </si>
  <si>
    <r>
      <t>1</t>
    </r>
    <r>
      <rPr>
        <sz val="11"/>
        <rFont val="ＭＳ Ｐゴシック"/>
        <family val="3"/>
        <charset val="128"/>
      </rPr>
      <t>03419</t>
    </r>
    <phoneticPr fontId="2"/>
  </si>
  <si>
    <t>熱交換ｺｲﾙ</t>
    <rPh sb="0" eb="3">
      <t>ネツコウカン</t>
    </rPh>
    <phoneticPr fontId="2"/>
  </si>
  <si>
    <r>
      <t>1</t>
    </r>
    <r>
      <rPr>
        <sz val="11"/>
        <rFont val="ＭＳ Ｐゴシック"/>
        <family val="3"/>
        <charset val="128"/>
      </rPr>
      <t>50727</t>
    </r>
    <phoneticPr fontId="2"/>
  </si>
  <si>
    <t xml:space="preserve">BOT- 99  </t>
    <phoneticPr fontId="2"/>
  </si>
  <si>
    <r>
      <t>1</t>
    </r>
    <r>
      <rPr>
        <sz val="11"/>
        <rFont val="ＭＳ Ｐゴシック"/>
        <family val="3"/>
        <charset val="128"/>
      </rPr>
      <t>50728</t>
    </r>
    <phoneticPr fontId="2"/>
  </si>
  <si>
    <t xml:space="preserve">BOT-200  </t>
    <phoneticPr fontId="2"/>
  </si>
  <si>
    <r>
      <t>1</t>
    </r>
    <r>
      <rPr>
        <sz val="11"/>
        <rFont val="ＭＳ Ｐゴシック"/>
        <family val="3"/>
        <charset val="128"/>
      </rPr>
      <t>50729</t>
    </r>
    <phoneticPr fontId="2"/>
  </si>
  <si>
    <t xml:space="preserve">BOT-490  </t>
    <phoneticPr fontId="2"/>
  </si>
  <si>
    <t xml:space="preserve">BOT-900  </t>
    <phoneticPr fontId="2"/>
  </si>
  <si>
    <t xml:space="preserve">BOT-1000 </t>
    <phoneticPr fontId="2"/>
  </si>
  <si>
    <t>BOT-1900S</t>
    <phoneticPr fontId="2"/>
  </si>
  <si>
    <r>
      <t>1</t>
    </r>
    <r>
      <rPr>
        <sz val="11"/>
        <rFont val="ＭＳ Ｐゴシック"/>
        <family val="3"/>
        <charset val="128"/>
      </rPr>
      <t>05296</t>
    </r>
    <phoneticPr fontId="2"/>
  </si>
  <si>
    <t>油配管ｾｯﾄ</t>
  </si>
  <si>
    <r>
      <t>1</t>
    </r>
    <r>
      <rPr>
        <sz val="11"/>
        <rFont val="ＭＳ Ｐゴシック"/>
        <family val="3"/>
        <charset val="128"/>
      </rPr>
      <t>05297</t>
    </r>
    <phoneticPr fontId="2"/>
  </si>
  <si>
    <r>
      <t>1</t>
    </r>
    <r>
      <rPr>
        <sz val="11"/>
        <rFont val="ＭＳ Ｐゴシック"/>
        <family val="3"/>
        <charset val="128"/>
      </rPr>
      <t>01678</t>
    </r>
    <phoneticPr fontId="2"/>
  </si>
  <si>
    <t>BOP-Cu5M</t>
    <phoneticPr fontId="2"/>
  </si>
  <si>
    <r>
      <t>1</t>
    </r>
    <r>
      <rPr>
        <sz val="11"/>
        <rFont val="ＭＳ Ｐゴシック"/>
        <family val="3"/>
        <charset val="128"/>
      </rPr>
      <t>01674</t>
    </r>
    <phoneticPr fontId="2"/>
  </si>
  <si>
    <t>BOP-Cu10M</t>
    <phoneticPr fontId="2"/>
  </si>
  <si>
    <r>
      <t>1</t>
    </r>
    <r>
      <rPr>
        <sz val="11"/>
        <rFont val="ＭＳ Ｐゴシック"/>
        <family val="3"/>
        <charset val="128"/>
      </rPr>
      <t>03313</t>
    </r>
    <phoneticPr fontId="2"/>
  </si>
  <si>
    <t>油配管ｾｯﾄ</t>
    <phoneticPr fontId="2"/>
  </si>
  <si>
    <t>BOP-Cu20M</t>
    <phoneticPr fontId="2"/>
  </si>
  <si>
    <r>
      <t>1</t>
    </r>
    <r>
      <rPr>
        <sz val="11"/>
        <rFont val="ＭＳ Ｐゴシック"/>
        <family val="3"/>
        <charset val="128"/>
      </rPr>
      <t>74000</t>
    </r>
    <phoneticPr fontId="2"/>
  </si>
  <si>
    <t xml:space="preserve">火気厳禁他２点    </t>
    <rPh sb="5" eb="7">
      <t>２テン</t>
    </rPh>
    <phoneticPr fontId="2"/>
  </si>
  <si>
    <t>（取付を含む）</t>
    <phoneticPr fontId="2"/>
  </si>
  <si>
    <r>
      <t>1</t>
    </r>
    <r>
      <rPr>
        <sz val="11"/>
        <rFont val="ＭＳ Ｐゴシック"/>
        <family val="3"/>
        <charset val="128"/>
      </rPr>
      <t>74007</t>
    </r>
    <phoneticPr fontId="2"/>
  </si>
  <si>
    <t>ＶＡ</t>
    <phoneticPr fontId="2"/>
  </si>
  <si>
    <r>
      <t>R</t>
    </r>
    <r>
      <rPr>
        <sz val="11"/>
        <rFont val="ＭＳ Ｐゴシック"/>
        <family val="3"/>
        <charset val="128"/>
      </rPr>
      <t>B0000304</t>
    </r>
    <phoneticPr fontId="2"/>
  </si>
  <si>
    <t>ST- 3   1000L</t>
    <phoneticPr fontId="2"/>
  </si>
  <si>
    <r>
      <t>R</t>
    </r>
    <r>
      <rPr>
        <sz val="11"/>
        <rFont val="ＭＳ Ｐゴシック"/>
        <family val="3"/>
        <charset val="128"/>
      </rPr>
      <t>B0000305</t>
    </r>
    <phoneticPr fontId="2"/>
  </si>
  <si>
    <t>ST- 5   1000L</t>
    <phoneticPr fontId="2"/>
  </si>
  <si>
    <r>
      <t>R</t>
    </r>
    <r>
      <rPr>
        <sz val="11"/>
        <rFont val="ＭＳ Ｐゴシック"/>
        <family val="3"/>
        <charset val="128"/>
      </rPr>
      <t>B0000306</t>
    </r>
    <phoneticPr fontId="2"/>
  </si>
  <si>
    <t>ST- 8   1000L</t>
    <phoneticPr fontId="2"/>
  </si>
  <si>
    <r>
      <t>R</t>
    </r>
    <r>
      <rPr>
        <sz val="11"/>
        <rFont val="ＭＳ Ｐゴシック"/>
        <family val="3"/>
        <charset val="128"/>
      </rPr>
      <t>B0000307</t>
    </r>
    <phoneticPr fontId="2"/>
  </si>
  <si>
    <t>ST-10   1000L</t>
    <phoneticPr fontId="2"/>
  </si>
  <si>
    <r>
      <t>R</t>
    </r>
    <r>
      <rPr>
        <sz val="11"/>
        <rFont val="ＭＳ Ｐゴシック"/>
        <family val="3"/>
        <charset val="128"/>
      </rPr>
      <t>B0000308</t>
    </r>
    <phoneticPr fontId="2"/>
  </si>
  <si>
    <t>ST-20   1000L</t>
    <phoneticPr fontId="2"/>
  </si>
  <si>
    <r>
      <t>R</t>
    </r>
    <r>
      <rPr>
        <sz val="11"/>
        <rFont val="ＭＳ Ｐゴシック"/>
        <family val="3"/>
        <charset val="128"/>
      </rPr>
      <t>B0000310</t>
    </r>
    <phoneticPr fontId="2"/>
  </si>
  <si>
    <t>ST-40   1000L</t>
    <phoneticPr fontId="2"/>
  </si>
  <si>
    <r>
      <t>R</t>
    </r>
    <r>
      <rPr>
        <sz val="11"/>
        <rFont val="ＭＳ Ｐゴシック"/>
        <family val="3"/>
        <charset val="128"/>
      </rPr>
      <t>B0000311</t>
    </r>
    <phoneticPr fontId="2"/>
  </si>
  <si>
    <t>ST-50   1000L</t>
    <phoneticPr fontId="2"/>
  </si>
  <si>
    <r>
      <t>R</t>
    </r>
    <r>
      <rPr>
        <sz val="11"/>
        <rFont val="ＭＳ Ｐゴシック"/>
        <family val="3"/>
        <charset val="128"/>
      </rPr>
      <t>B0000337</t>
    </r>
    <phoneticPr fontId="2"/>
  </si>
  <si>
    <t>SH-21   1000</t>
    <phoneticPr fontId="2"/>
  </si>
  <si>
    <r>
      <t>R</t>
    </r>
    <r>
      <rPr>
        <sz val="11"/>
        <rFont val="ＭＳ Ｐゴシック"/>
        <family val="3"/>
        <charset val="128"/>
      </rPr>
      <t>B0000338</t>
    </r>
    <phoneticPr fontId="2"/>
  </si>
  <si>
    <t>SH-31   1000L</t>
    <phoneticPr fontId="2"/>
  </si>
  <si>
    <r>
      <t>R</t>
    </r>
    <r>
      <rPr>
        <sz val="11"/>
        <rFont val="ＭＳ Ｐゴシック"/>
        <family val="3"/>
        <charset val="128"/>
      </rPr>
      <t>B0000339</t>
    </r>
    <phoneticPr fontId="2"/>
  </si>
  <si>
    <t>SH-41   1000L</t>
    <phoneticPr fontId="2"/>
  </si>
  <si>
    <r>
      <t>R</t>
    </r>
    <r>
      <rPr>
        <sz val="11"/>
        <rFont val="ＭＳ Ｐゴシック"/>
        <family val="3"/>
        <charset val="128"/>
      </rPr>
      <t>B0000341</t>
    </r>
    <phoneticPr fontId="2"/>
  </si>
  <si>
    <t>SH-61   1000L</t>
    <phoneticPr fontId="2"/>
  </si>
  <si>
    <r>
      <t>R</t>
    </r>
    <r>
      <rPr>
        <sz val="11"/>
        <rFont val="ＭＳ Ｐゴシック"/>
        <family val="3"/>
        <charset val="128"/>
      </rPr>
      <t>B0000342</t>
    </r>
    <phoneticPr fontId="2"/>
  </si>
  <si>
    <t>SH-81   1000L</t>
    <phoneticPr fontId="2"/>
  </si>
  <si>
    <r>
      <t>R</t>
    </r>
    <r>
      <rPr>
        <sz val="11"/>
        <rFont val="ＭＳ Ｐゴシック"/>
        <family val="3"/>
        <charset val="128"/>
      </rPr>
      <t>B0000343</t>
    </r>
    <phoneticPr fontId="2"/>
  </si>
  <si>
    <t>SH-101  1000L</t>
    <phoneticPr fontId="2"/>
  </si>
  <si>
    <r>
      <t>R</t>
    </r>
    <r>
      <rPr>
        <sz val="11"/>
        <rFont val="ＭＳ Ｐゴシック"/>
        <family val="3"/>
        <charset val="128"/>
      </rPr>
      <t>B0000313</t>
    </r>
    <phoneticPr fontId="2"/>
  </si>
  <si>
    <t>ST- 3   2000L</t>
    <phoneticPr fontId="2"/>
  </si>
  <si>
    <r>
      <t>R</t>
    </r>
    <r>
      <rPr>
        <sz val="11"/>
        <rFont val="ＭＳ Ｐゴシック"/>
        <family val="3"/>
        <charset val="128"/>
      </rPr>
      <t>B0000314</t>
    </r>
    <phoneticPr fontId="2"/>
  </si>
  <si>
    <t>ST- 5   2000L</t>
    <phoneticPr fontId="2"/>
  </si>
  <si>
    <r>
      <t>R</t>
    </r>
    <r>
      <rPr>
        <sz val="11"/>
        <rFont val="ＭＳ Ｐゴシック"/>
        <family val="3"/>
        <charset val="128"/>
      </rPr>
      <t>B0000315</t>
    </r>
    <phoneticPr fontId="2"/>
  </si>
  <si>
    <t>ST- 8   2000L</t>
    <phoneticPr fontId="2"/>
  </si>
  <si>
    <r>
      <t>R</t>
    </r>
    <r>
      <rPr>
        <sz val="11"/>
        <rFont val="ＭＳ Ｐゴシック"/>
        <family val="3"/>
        <charset val="128"/>
      </rPr>
      <t>B0000316</t>
    </r>
    <phoneticPr fontId="2"/>
  </si>
  <si>
    <t>ST-10   2000L</t>
    <phoneticPr fontId="2"/>
  </si>
  <si>
    <r>
      <t>R</t>
    </r>
    <r>
      <rPr>
        <sz val="11"/>
        <rFont val="ＭＳ Ｐゴシック"/>
        <family val="3"/>
        <charset val="128"/>
      </rPr>
      <t>B0000317</t>
    </r>
    <phoneticPr fontId="2"/>
  </si>
  <si>
    <t>ST-20   2000L</t>
    <phoneticPr fontId="2"/>
  </si>
  <si>
    <r>
      <t>0</t>
    </r>
    <r>
      <rPr>
        <sz val="11"/>
        <rFont val="ＭＳ Ｐゴシック"/>
        <family val="3"/>
        <charset val="128"/>
      </rPr>
      <t>00873</t>
    </r>
    <phoneticPr fontId="2"/>
  </si>
  <si>
    <t>複合環境制御盤</t>
  </si>
  <si>
    <t>MC-3000</t>
  </si>
  <si>
    <r>
      <t>0</t>
    </r>
    <r>
      <rPr>
        <sz val="11"/>
        <rFont val="ＭＳ Ｐゴシック"/>
        <family val="3"/>
        <charset val="128"/>
      </rPr>
      <t>00874</t>
    </r>
    <phoneticPr fontId="2"/>
  </si>
  <si>
    <t>MC-3500</t>
  </si>
  <si>
    <r>
      <t>1</t>
    </r>
    <r>
      <rPr>
        <sz val="11"/>
        <rFont val="ＭＳ Ｐゴシック"/>
        <family val="3"/>
        <charset val="128"/>
      </rPr>
      <t>05284</t>
    </r>
    <phoneticPr fontId="2"/>
  </si>
  <si>
    <t>MC-4003</t>
  </si>
  <si>
    <r>
      <t>1</t>
    </r>
    <r>
      <rPr>
        <sz val="11"/>
        <rFont val="ＭＳ Ｐゴシック"/>
        <family val="3"/>
        <charset val="128"/>
      </rPr>
      <t>05285</t>
    </r>
    <phoneticPr fontId="2"/>
  </si>
  <si>
    <t>MC-4023</t>
  </si>
  <si>
    <r>
      <t>1</t>
    </r>
    <r>
      <rPr>
        <sz val="11"/>
        <rFont val="ＭＳ Ｐゴシック"/>
        <family val="3"/>
        <charset val="128"/>
      </rPr>
      <t>04336</t>
    </r>
    <phoneticPr fontId="2"/>
  </si>
  <si>
    <t>MC-5013</t>
  </si>
  <si>
    <r>
      <t>1</t>
    </r>
    <r>
      <rPr>
        <sz val="11"/>
        <rFont val="ＭＳ Ｐゴシック"/>
        <family val="3"/>
        <charset val="128"/>
      </rPr>
      <t>04338</t>
    </r>
    <phoneticPr fontId="2"/>
  </si>
  <si>
    <t>MC-5023</t>
  </si>
  <si>
    <r>
      <t>1</t>
    </r>
    <r>
      <rPr>
        <sz val="11"/>
        <rFont val="ＭＳ Ｐゴシック"/>
        <family val="3"/>
        <charset val="128"/>
      </rPr>
      <t>03305</t>
    </r>
    <phoneticPr fontId="2"/>
  </si>
  <si>
    <t>湿度ｾﾝｻｰ</t>
    <phoneticPr fontId="2"/>
  </si>
  <si>
    <t xml:space="preserve">HUS-12   </t>
  </si>
  <si>
    <r>
      <t>1</t>
    </r>
    <r>
      <rPr>
        <sz val="11"/>
        <rFont val="ＭＳ Ｐゴシック"/>
        <family val="3"/>
        <charset val="128"/>
      </rPr>
      <t>44507</t>
    </r>
    <phoneticPr fontId="2"/>
  </si>
  <si>
    <t xml:space="preserve">室温ｾﾝｻｰｾｯﾄ   </t>
  </si>
  <si>
    <t xml:space="preserve">TS-102P  </t>
  </si>
  <si>
    <r>
      <t>0</t>
    </r>
    <r>
      <rPr>
        <sz val="11"/>
        <rFont val="ＭＳ Ｐゴシック"/>
        <family val="3"/>
        <charset val="128"/>
      </rPr>
      <t>01614</t>
    </r>
    <phoneticPr fontId="2"/>
  </si>
  <si>
    <r>
      <t>HRS-10</t>
    </r>
    <r>
      <rPr>
        <sz val="11"/>
        <rFont val="ＭＳ Ｐゴシック"/>
        <family val="3"/>
        <charset val="128"/>
      </rPr>
      <t>A</t>
    </r>
    <phoneticPr fontId="2"/>
  </si>
  <si>
    <r>
      <t>1</t>
    </r>
    <r>
      <rPr>
        <sz val="11"/>
        <rFont val="ＭＳ Ｐゴシック"/>
        <family val="3"/>
        <charset val="128"/>
      </rPr>
      <t>06351</t>
    </r>
    <phoneticPr fontId="2"/>
  </si>
  <si>
    <t>雨･風速･風向感知器</t>
    <rPh sb="0" eb="1">
      <t>アメ</t>
    </rPh>
    <rPh sb="2" eb="4">
      <t>フウソク</t>
    </rPh>
    <rPh sb="5" eb="7">
      <t>フウコウ</t>
    </rPh>
    <rPh sb="7" eb="10">
      <t>カンチキ</t>
    </rPh>
    <phoneticPr fontId="2"/>
  </si>
  <si>
    <t xml:space="preserve">TSC-53  </t>
  </si>
  <si>
    <r>
      <t>1</t>
    </r>
    <r>
      <rPr>
        <sz val="11"/>
        <rFont val="ＭＳ Ｐゴシック"/>
        <family val="3"/>
        <charset val="128"/>
      </rPr>
      <t>06348</t>
    </r>
    <phoneticPr fontId="2"/>
  </si>
  <si>
    <t xml:space="preserve">TSC-13  </t>
  </si>
  <si>
    <r>
      <t>1</t>
    </r>
    <r>
      <rPr>
        <sz val="11"/>
        <rFont val="ＭＳ Ｐゴシック"/>
        <family val="3"/>
        <charset val="128"/>
      </rPr>
      <t>05991</t>
    </r>
    <phoneticPr fontId="2"/>
  </si>
  <si>
    <t xml:space="preserve">TSC-23   </t>
  </si>
  <si>
    <r>
      <t>0</t>
    </r>
    <r>
      <rPr>
        <sz val="11"/>
        <rFont val="ＭＳ Ｐゴシック"/>
        <family val="3"/>
        <charset val="128"/>
      </rPr>
      <t>01623</t>
    </r>
    <phoneticPr fontId="2"/>
  </si>
  <si>
    <t xml:space="preserve">TSC-33 </t>
  </si>
  <si>
    <t>風速・風向感知機</t>
    <rPh sb="0" eb="2">
      <t>フウソク</t>
    </rPh>
    <rPh sb="3" eb="5">
      <t>フウコウ</t>
    </rPh>
    <rPh sb="5" eb="7">
      <t>カンチ</t>
    </rPh>
    <rPh sb="7" eb="8">
      <t>キ</t>
    </rPh>
    <phoneticPr fontId="2"/>
  </si>
  <si>
    <t>TSC-43</t>
  </si>
  <si>
    <r>
      <t>1</t>
    </r>
    <r>
      <rPr>
        <sz val="11"/>
        <rFont val="ＭＳ Ｐゴシック"/>
        <family val="3"/>
        <charset val="128"/>
      </rPr>
      <t>01163</t>
    </r>
    <phoneticPr fontId="2"/>
  </si>
  <si>
    <t>避雷器</t>
    <rPh sb="0" eb="1">
      <t>ヒ</t>
    </rPh>
    <rPh sb="1" eb="2">
      <t>ライ</t>
    </rPh>
    <rPh sb="2" eb="3">
      <t>キ</t>
    </rPh>
    <phoneticPr fontId="2"/>
  </si>
  <si>
    <t>LA-100T</t>
  </si>
  <si>
    <t xml:space="preserve">個 </t>
  </si>
  <si>
    <r>
      <t>1</t>
    </r>
    <r>
      <rPr>
        <sz val="11"/>
        <rFont val="ＭＳ Ｐゴシック"/>
        <family val="3"/>
        <charset val="128"/>
      </rPr>
      <t>03506</t>
    </r>
    <phoneticPr fontId="2"/>
  </si>
  <si>
    <t xml:space="preserve">ＰＣｱﾀﾞﾌﾟﾀｰ   </t>
  </si>
  <si>
    <t>MAC-100B</t>
  </si>
  <si>
    <t>通信ｱﾀﾞﾌﾟﾀ有線</t>
    <rPh sb="0" eb="2">
      <t>ツウシン</t>
    </rPh>
    <rPh sb="8" eb="10">
      <t>ユウセン</t>
    </rPh>
    <phoneticPr fontId="2"/>
  </si>
  <si>
    <r>
      <t>MAC-10</t>
    </r>
    <r>
      <rPr>
        <sz val="11"/>
        <rFont val="ＭＳ Ｐゴシック"/>
        <family val="3"/>
        <charset val="128"/>
      </rPr>
      <t>3</t>
    </r>
    <r>
      <rPr>
        <sz val="11"/>
        <rFont val="ＭＳ Ｐゴシック"/>
        <family val="3"/>
        <charset val="128"/>
      </rPr>
      <t>C</t>
    </r>
    <phoneticPr fontId="2"/>
  </si>
  <si>
    <t>通信ｱﾀﾞﾌﾟﾀ電話</t>
    <rPh sb="0" eb="2">
      <t>ツウシン</t>
    </rPh>
    <rPh sb="8" eb="10">
      <t>デンワ</t>
    </rPh>
    <phoneticPr fontId="2"/>
  </si>
  <si>
    <r>
      <t>MAC-10</t>
    </r>
    <r>
      <rPr>
        <sz val="11"/>
        <rFont val="ＭＳ Ｐゴシック"/>
        <family val="3"/>
        <charset val="128"/>
      </rPr>
      <t>3</t>
    </r>
    <r>
      <rPr>
        <sz val="11"/>
        <rFont val="ＭＳ Ｐゴシック"/>
        <family val="3"/>
        <charset val="128"/>
      </rPr>
      <t>D</t>
    </r>
    <phoneticPr fontId="2"/>
  </si>
  <si>
    <r>
      <t>1</t>
    </r>
    <r>
      <rPr>
        <sz val="11"/>
        <rFont val="ＭＳ Ｐゴシック"/>
        <family val="3"/>
        <charset val="128"/>
      </rPr>
      <t>06367</t>
    </r>
    <phoneticPr fontId="2"/>
  </si>
  <si>
    <t xml:space="preserve">ＰＣｹｰﾌﾞﾙ     </t>
  </si>
  <si>
    <t xml:space="preserve">PC-9896  </t>
  </si>
  <si>
    <r>
      <t>1</t>
    </r>
    <r>
      <rPr>
        <sz val="11"/>
        <rFont val="ＭＳ Ｐゴシック"/>
        <family val="3"/>
        <charset val="128"/>
      </rPr>
      <t>06366</t>
    </r>
    <phoneticPr fontId="2"/>
  </si>
  <si>
    <t xml:space="preserve">ﾓﾃﾞﾑ          </t>
  </si>
  <si>
    <t>MD24FB10V</t>
  </si>
  <si>
    <r>
      <t>1</t>
    </r>
    <r>
      <rPr>
        <sz val="11"/>
        <rFont val="ＭＳ Ｐゴシック"/>
        <family val="3"/>
        <charset val="128"/>
      </rPr>
      <t>06359</t>
    </r>
    <phoneticPr fontId="2"/>
  </si>
  <si>
    <t>回線自動切替</t>
    <rPh sb="0" eb="2">
      <t>カイセン</t>
    </rPh>
    <rPh sb="2" eb="4">
      <t>ジドウ</t>
    </rPh>
    <rPh sb="4" eb="6">
      <t>キリカエ</t>
    </rPh>
    <phoneticPr fontId="2"/>
  </si>
  <si>
    <t>FT-103-EX</t>
  </si>
  <si>
    <t>通信ｿﾌﾄ</t>
    <rPh sb="0" eb="2">
      <t>ツウシン</t>
    </rPh>
    <phoneticPr fontId="2"/>
  </si>
  <si>
    <t>NPC-302-2</t>
  </si>
  <si>
    <t>省エネ制御装置</t>
    <rPh sb="0" eb="1">
      <t>ショウ</t>
    </rPh>
    <rPh sb="3" eb="5">
      <t>セイギョ</t>
    </rPh>
    <rPh sb="5" eb="7">
      <t>ソウチ</t>
    </rPh>
    <phoneticPr fontId="2"/>
  </si>
  <si>
    <t>ﾊﾟｿｺﾝｾｯﾄ　有線式</t>
    <rPh sb="9" eb="11">
      <t>ユウセン</t>
    </rPh>
    <rPh sb="11" eb="12">
      <t>シキ</t>
    </rPh>
    <phoneticPr fontId="2"/>
  </si>
  <si>
    <t>PC-100C　</t>
  </si>
  <si>
    <t>ﾊﾟｿｺﾝｾｯﾄ　電話式</t>
    <rPh sb="9" eb="11">
      <t>デンワ</t>
    </rPh>
    <rPh sb="11" eb="12">
      <t>シキ</t>
    </rPh>
    <phoneticPr fontId="2"/>
  </si>
  <si>
    <t>PC-100D</t>
  </si>
  <si>
    <r>
      <t>1</t>
    </r>
    <r>
      <rPr>
        <sz val="11"/>
        <rFont val="ＭＳ Ｐゴシック"/>
        <family val="3"/>
        <charset val="128"/>
      </rPr>
      <t>04258</t>
    </r>
    <phoneticPr fontId="2"/>
  </si>
  <si>
    <t>ﾓﾔｺﾝ(ﾀｲﾏ)</t>
  </si>
  <si>
    <t>HUC-53</t>
  </si>
  <si>
    <r>
      <t>1</t>
    </r>
    <r>
      <rPr>
        <sz val="11"/>
        <rFont val="ＭＳ Ｐゴシック"/>
        <family val="3"/>
        <charset val="128"/>
      </rPr>
      <t>06330</t>
    </r>
    <phoneticPr fontId="2"/>
  </si>
  <si>
    <t>HUC-53S1</t>
  </si>
  <si>
    <r>
      <t>1</t>
    </r>
    <r>
      <rPr>
        <sz val="11"/>
        <rFont val="ＭＳ Ｐゴシック"/>
        <family val="3"/>
        <charset val="128"/>
      </rPr>
      <t>04460</t>
    </r>
    <phoneticPr fontId="2"/>
  </si>
  <si>
    <t>湿度ｺﾝﾄﾛｰﾗ</t>
    <rPh sb="0" eb="2">
      <t>シツド</t>
    </rPh>
    <phoneticPr fontId="2"/>
  </si>
  <si>
    <t>HUC-201</t>
  </si>
  <si>
    <r>
      <t>1</t>
    </r>
    <r>
      <rPr>
        <sz val="11"/>
        <rFont val="ＭＳ Ｐゴシック"/>
        <family val="3"/>
        <charset val="128"/>
      </rPr>
      <t>05197</t>
    </r>
    <phoneticPr fontId="2"/>
  </si>
  <si>
    <t>HUC-340</t>
  </si>
  <si>
    <r>
      <t>1</t>
    </r>
    <r>
      <rPr>
        <sz val="11"/>
        <rFont val="ＭＳ Ｐゴシック"/>
        <family val="3"/>
        <charset val="128"/>
      </rPr>
      <t>04322</t>
    </r>
    <phoneticPr fontId="2"/>
  </si>
  <si>
    <t>4段ｻｰﾓ(A)</t>
    <rPh sb="1" eb="2">
      <t>ダン</t>
    </rPh>
    <phoneticPr fontId="2"/>
  </si>
  <si>
    <t>NT-144</t>
  </si>
  <si>
    <r>
      <t>1</t>
    </r>
    <r>
      <rPr>
        <sz val="11"/>
        <rFont val="ＭＳ Ｐゴシック"/>
        <family val="3"/>
        <charset val="128"/>
      </rPr>
      <t>04332</t>
    </r>
    <phoneticPr fontId="2"/>
  </si>
  <si>
    <t>NT-144S1</t>
  </si>
  <si>
    <r>
      <t>1</t>
    </r>
    <r>
      <rPr>
        <sz val="11"/>
        <rFont val="ＭＳ Ｐゴシック"/>
        <family val="3"/>
        <charset val="128"/>
      </rPr>
      <t>04344</t>
    </r>
    <phoneticPr fontId="2"/>
  </si>
  <si>
    <t>NT-144C</t>
  </si>
  <si>
    <r>
      <t>1</t>
    </r>
    <r>
      <rPr>
        <sz val="11"/>
        <rFont val="ＭＳ Ｐゴシック"/>
        <family val="3"/>
        <charset val="128"/>
      </rPr>
      <t>05901</t>
    </r>
    <phoneticPr fontId="2"/>
  </si>
  <si>
    <t>4段ｻｰﾓ(D)</t>
    <rPh sb="1" eb="2">
      <t>ダン</t>
    </rPh>
    <phoneticPr fontId="2"/>
  </si>
  <si>
    <t>HKN-252</t>
  </si>
  <si>
    <r>
      <t>1</t>
    </r>
    <r>
      <rPr>
        <sz val="11"/>
        <rFont val="ＭＳ Ｐゴシック"/>
        <family val="3"/>
        <charset val="128"/>
      </rPr>
      <t>06398</t>
    </r>
    <phoneticPr fontId="2"/>
  </si>
  <si>
    <t>4段サーモヤコン</t>
    <rPh sb="1" eb="2">
      <t>ダン</t>
    </rPh>
    <phoneticPr fontId="2"/>
  </si>
  <si>
    <t>ＮＴ-341HN</t>
  </si>
  <si>
    <r>
      <t>1</t>
    </r>
    <r>
      <rPr>
        <sz val="11"/>
        <rFont val="ＭＳ Ｐゴシック"/>
        <family val="3"/>
        <charset val="128"/>
      </rPr>
      <t>06196</t>
    </r>
    <phoneticPr fontId="2"/>
  </si>
  <si>
    <t>ＮＴ-341SET</t>
  </si>
  <si>
    <r>
      <t>1</t>
    </r>
    <r>
      <rPr>
        <sz val="11"/>
        <rFont val="ＭＳ Ｐゴシック"/>
        <family val="3"/>
        <charset val="128"/>
      </rPr>
      <t>04897</t>
    </r>
    <phoneticPr fontId="2"/>
  </si>
  <si>
    <t>ﾊｳｽｹｲﾎｳｷ</t>
  </si>
  <si>
    <t>SG-102</t>
  </si>
  <si>
    <r>
      <t>1</t>
    </r>
    <r>
      <rPr>
        <sz val="11"/>
        <rFont val="ＭＳ Ｐゴシック"/>
        <family val="3"/>
        <charset val="128"/>
      </rPr>
      <t>04912</t>
    </r>
    <phoneticPr fontId="2"/>
  </si>
  <si>
    <t>SG-301B</t>
  </si>
  <si>
    <r>
      <t>1</t>
    </r>
    <r>
      <rPr>
        <sz val="11"/>
        <rFont val="ＭＳ Ｐゴシック"/>
        <family val="3"/>
        <charset val="128"/>
      </rPr>
      <t>04635</t>
    </r>
    <phoneticPr fontId="2"/>
  </si>
  <si>
    <t>CO2ｺﾝﾄﾛｰﾗ</t>
  </si>
  <si>
    <t>CGC-102</t>
  </si>
  <si>
    <r>
      <t>1</t>
    </r>
    <r>
      <rPr>
        <sz val="11"/>
        <rFont val="ＭＳ Ｐゴシック"/>
        <family val="3"/>
        <charset val="128"/>
      </rPr>
      <t>04637</t>
    </r>
    <phoneticPr fontId="2"/>
  </si>
  <si>
    <t>CGC-102T</t>
  </si>
  <si>
    <r>
      <t>1</t>
    </r>
    <r>
      <rPr>
        <sz val="11"/>
        <rFont val="ＭＳ Ｐゴシック"/>
        <family val="3"/>
        <charset val="128"/>
      </rPr>
      <t>04636</t>
    </r>
    <phoneticPr fontId="2"/>
  </si>
  <si>
    <t>CGC-102S1</t>
  </si>
  <si>
    <r>
      <t>1</t>
    </r>
    <r>
      <rPr>
        <sz val="11"/>
        <rFont val="ＭＳ Ｐゴシック"/>
        <family val="3"/>
        <charset val="128"/>
      </rPr>
      <t>05821</t>
    </r>
    <phoneticPr fontId="2"/>
  </si>
  <si>
    <t>ｷｬｽﾉｰﾙ</t>
  </si>
  <si>
    <t>HCA-5031</t>
  </si>
  <si>
    <t>潅水ｺﾝﾄﾛｰﾗ</t>
    <rPh sb="0" eb="2">
      <t>カンスイ</t>
    </rPh>
    <phoneticPr fontId="2"/>
  </si>
  <si>
    <t>SPC-1121</t>
  </si>
  <si>
    <r>
      <t>1</t>
    </r>
    <r>
      <rPr>
        <sz val="11"/>
        <rFont val="ＭＳ Ｐゴシック"/>
        <family val="3"/>
        <charset val="128"/>
      </rPr>
      <t>04236</t>
    </r>
    <phoneticPr fontId="2"/>
  </si>
  <si>
    <t>ﾎﾟﾝﾌﾟｺﾝﾄﾛｰﾗ</t>
  </si>
  <si>
    <t>PS-T12</t>
  </si>
  <si>
    <r>
      <t>1</t>
    </r>
    <r>
      <rPr>
        <sz val="11"/>
        <rFont val="ＭＳ Ｐゴシック"/>
        <family val="3"/>
        <charset val="128"/>
      </rPr>
      <t>04237</t>
    </r>
    <phoneticPr fontId="2"/>
  </si>
  <si>
    <t>PS-T22</t>
  </si>
  <si>
    <r>
      <t>2</t>
    </r>
    <r>
      <rPr>
        <sz val="11"/>
        <rFont val="ＭＳ Ｐゴシック"/>
        <family val="3"/>
        <charset val="128"/>
      </rPr>
      <t>12767</t>
    </r>
    <phoneticPr fontId="2"/>
  </si>
  <si>
    <t>感震器</t>
  </si>
  <si>
    <t>BES-100</t>
  </si>
  <si>
    <r>
      <t>0</t>
    </r>
    <r>
      <rPr>
        <sz val="11"/>
        <rFont val="ＭＳ Ｐゴシック"/>
        <family val="3"/>
        <charset val="128"/>
      </rPr>
      <t>04586</t>
    </r>
    <phoneticPr fontId="2"/>
  </si>
  <si>
    <t>不完全燃焼警報ﾕﾆｯﾄ</t>
    <rPh sb="0" eb="3">
      <t>フカンゼン</t>
    </rPh>
    <rPh sb="3" eb="5">
      <t>ネンショウ</t>
    </rPh>
    <rPh sb="5" eb="7">
      <t>ケイホウ</t>
    </rPh>
    <phoneticPr fontId="2"/>
  </si>
  <si>
    <t>SG-30</t>
  </si>
  <si>
    <r>
      <t>1</t>
    </r>
    <r>
      <rPr>
        <sz val="11"/>
        <rFont val="ＭＳ Ｐゴシック"/>
        <family val="3"/>
        <charset val="128"/>
      </rPr>
      <t>05659</t>
    </r>
    <phoneticPr fontId="2"/>
  </si>
  <si>
    <t>TMB-200-11</t>
  </si>
  <si>
    <r>
      <t>1</t>
    </r>
    <r>
      <rPr>
        <sz val="11"/>
        <rFont val="ＭＳ Ｐゴシック"/>
        <family val="3"/>
        <charset val="128"/>
      </rPr>
      <t>05877</t>
    </r>
    <phoneticPr fontId="2"/>
  </si>
  <si>
    <t>ﾈﾎﾟﾝﾀｲﾏBOX</t>
  </si>
  <si>
    <t>TMB-100-11</t>
  </si>
  <si>
    <r>
      <t>1</t>
    </r>
    <r>
      <rPr>
        <sz val="11"/>
        <rFont val="ＭＳ Ｐゴシック"/>
        <family val="3"/>
        <charset val="128"/>
      </rPr>
      <t>06344</t>
    </r>
    <phoneticPr fontId="2"/>
  </si>
  <si>
    <t>換気扇連動</t>
    <rPh sb="0" eb="3">
      <t>カンキセン</t>
    </rPh>
    <rPh sb="3" eb="5">
      <t>レンドウ</t>
    </rPh>
    <phoneticPr fontId="2"/>
  </si>
  <si>
    <t>RT-202</t>
  </si>
  <si>
    <t xml:space="preserve">台 </t>
  </si>
  <si>
    <r>
      <t>1</t>
    </r>
    <r>
      <rPr>
        <sz val="11"/>
        <rFont val="ＭＳ Ｐゴシック"/>
        <family val="3"/>
        <charset val="128"/>
      </rPr>
      <t>06365</t>
    </r>
    <phoneticPr fontId="2"/>
  </si>
  <si>
    <t xml:space="preserve">ｶｰﾃﾝ補助盤    </t>
  </si>
  <si>
    <t xml:space="preserve">MCK-111 </t>
  </si>
  <si>
    <r>
      <t>1</t>
    </r>
    <r>
      <rPr>
        <sz val="11"/>
        <rFont val="ＭＳ Ｐゴシック"/>
        <family val="3"/>
        <charset val="128"/>
      </rPr>
      <t>06363</t>
    </r>
    <phoneticPr fontId="2"/>
  </si>
  <si>
    <t>MCK-121</t>
  </si>
  <si>
    <r>
      <t>1</t>
    </r>
    <r>
      <rPr>
        <sz val="11"/>
        <rFont val="ＭＳ Ｐゴシック"/>
        <family val="3"/>
        <charset val="128"/>
      </rPr>
      <t>06333</t>
    </r>
    <phoneticPr fontId="2"/>
  </si>
  <si>
    <t>MCK-131</t>
  </si>
  <si>
    <t>遮光ｶｰﾃﾝ制御盤</t>
  </si>
  <si>
    <t xml:space="preserve">MCK-200  </t>
  </si>
  <si>
    <t>温度ｶｰﾃﾝ制御盤</t>
  </si>
  <si>
    <t xml:space="preserve">MCK-201  </t>
  </si>
  <si>
    <t>ﾀｲﾏｰｶｰﾃﾝ制御盤</t>
  </si>
  <si>
    <t>MCK-203</t>
  </si>
  <si>
    <t>ｶｰﾃﾝｲﾝﾀｰﾌｪｲｽ</t>
  </si>
  <si>
    <t>MCK-5003</t>
  </si>
  <si>
    <t>MCK-5013</t>
  </si>
  <si>
    <t>MCK-5023</t>
  </si>
  <si>
    <t>換気除湿ｱﾀﾞﾌﾟﾀ</t>
  </si>
  <si>
    <t xml:space="preserve">HAC-100  </t>
  </si>
  <si>
    <t xml:space="preserve">HAC-110  </t>
  </si>
  <si>
    <r>
      <t>1</t>
    </r>
    <r>
      <rPr>
        <sz val="11"/>
        <rFont val="ＭＳ Ｐゴシック"/>
        <family val="3"/>
        <charset val="128"/>
      </rPr>
      <t>06337</t>
    </r>
    <phoneticPr fontId="2"/>
  </si>
  <si>
    <t>ｶｰﾃﾝ制御盤</t>
    <rPh sb="4" eb="6">
      <t>セイギョ</t>
    </rPh>
    <rPh sb="6" eb="7">
      <t>バン</t>
    </rPh>
    <phoneticPr fontId="2"/>
  </si>
  <si>
    <t>OTK-1010</t>
  </si>
  <si>
    <r>
      <t>1</t>
    </r>
    <r>
      <rPr>
        <sz val="11"/>
        <rFont val="ＭＳ Ｐゴシック"/>
        <family val="3"/>
        <charset val="128"/>
      </rPr>
      <t>06338</t>
    </r>
    <phoneticPr fontId="2"/>
  </si>
  <si>
    <t>OTK-1040</t>
  </si>
  <si>
    <r>
      <t>0</t>
    </r>
    <r>
      <rPr>
        <sz val="11"/>
        <rFont val="ＭＳ Ｐゴシック"/>
        <family val="3"/>
        <charset val="128"/>
      </rPr>
      <t>00773</t>
    </r>
    <phoneticPr fontId="2"/>
  </si>
  <si>
    <t>OTK-1110</t>
  </si>
  <si>
    <r>
      <t>1</t>
    </r>
    <r>
      <rPr>
        <sz val="11"/>
        <rFont val="ＭＳ Ｐゴシック"/>
        <family val="3"/>
        <charset val="128"/>
      </rPr>
      <t>06339</t>
    </r>
    <phoneticPr fontId="2"/>
  </si>
  <si>
    <t>OTK-1140</t>
  </si>
  <si>
    <r>
      <t>1</t>
    </r>
    <r>
      <rPr>
        <sz val="11"/>
        <rFont val="ＭＳ Ｐゴシック"/>
        <family val="3"/>
        <charset val="128"/>
      </rPr>
      <t>06340</t>
    </r>
    <phoneticPr fontId="2"/>
  </si>
  <si>
    <t>OTK-2010</t>
  </si>
  <si>
    <r>
      <t>1</t>
    </r>
    <r>
      <rPr>
        <sz val="11"/>
        <rFont val="ＭＳ Ｐゴシック"/>
        <family val="3"/>
        <charset val="128"/>
      </rPr>
      <t>06341</t>
    </r>
    <phoneticPr fontId="2"/>
  </si>
  <si>
    <t>OTK-2040</t>
  </si>
  <si>
    <r>
      <t>1</t>
    </r>
    <r>
      <rPr>
        <sz val="11"/>
        <rFont val="ＭＳ Ｐゴシック"/>
        <family val="3"/>
        <charset val="128"/>
      </rPr>
      <t>06342</t>
    </r>
    <phoneticPr fontId="2"/>
  </si>
  <si>
    <t>OTK-2210</t>
  </si>
  <si>
    <r>
      <t>1</t>
    </r>
    <r>
      <rPr>
        <sz val="11"/>
        <rFont val="ＭＳ Ｐゴシック"/>
        <family val="3"/>
        <charset val="128"/>
      </rPr>
      <t>06343</t>
    </r>
    <phoneticPr fontId="2"/>
  </si>
  <si>
    <t>OTK-2240</t>
  </si>
  <si>
    <r>
      <t>1</t>
    </r>
    <r>
      <rPr>
        <sz val="11"/>
        <rFont val="ＭＳ Ｐゴシック"/>
        <family val="3"/>
        <charset val="128"/>
      </rPr>
      <t>05283</t>
    </r>
    <phoneticPr fontId="2"/>
  </si>
  <si>
    <t xml:space="preserve"> TSC-1203</t>
  </si>
  <si>
    <r>
      <t>1</t>
    </r>
    <r>
      <rPr>
        <sz val="11"/>
        <rFont val="ＭＳ Ｐゴシック"/>
        <family val="3"/>
        <charset val="128"/>
      </rPr>
      <t>05280</t>
    </r>
    <phoneticPr fontId="2"/>
  </si>
  <si>
    <t xml:space="preserve"> TSC-1403</t>
  </si>
  <si>
    <r>
      <t>1</t>
    </r>
    <r>
      <rPr>
        <sz val="11"/>
        <rFont val="ＭＳ Ｐゴシック"/>
        <family val="3"/>
        <charset val="128"/>
      </rPr>
      <t>05282</t>
    </r>
    <phoneticPr fontId="2"/>
  </si>
  <si>
    <t xml:space="preserve"> TSC-2203</t>
  </si>
  <si>
    <r>
      <t>1</t>
    </r>
    <r>
      <rPr>
        <sz val="11"/>
        <rFont val="ＭＳ Ｐゴシック"/>
        <family val="3"/>
        <charset val="128"/>
      </rPr>
      <t>05279</t>
    </r>
    <phoneticPr fontId="2"/>
  </si>
  <si>
    <t xml:space="preserve"> TSC-2403</t>
  </si>
  <si>
    <r>
      <t>1</t>
    </r>
    <r>
      <rPr>
        <sz val="11"/>
        <rFont val="ＭＳ Ｐゴシック"/>
        <family val="3"/>
        <charset val="128"/>
      </rPr>
      <t>05281</t>
    </r>
    <phoneticPr fontId="2"/>
  </si>
  <si>
    <t xml:space="preserve"> TSC-4203</t>
  </si>
  <si>
    <r>
      <t>1</t>
    </r>
    <r>
      <rPr>
        <sz val="11"/>
        <rFont val="ＭＳ Ｐゴシック"/>
        <family val="3"/>
        <charset val="128"/>
      </rPr>
      <t>05278</t>
    </r>
    <phoneticPr fontId="2"/>
  </si>
  <si>
    <t xml:space="preserve"> TSC-4403</t>
  </si>
  <si>
    <r>
      <t>1</t>
    </r>
    <r>
      <rPr>
        <sz val="11"/>
        <rFont val="ＭＳ Ｐゴシック"/>
        <family val="3"/>
        <charset val="128"/>
      </rPr>
      <t>04894</t>
    </r>
    <phoneticPr fontId="2"/>
  </si>
  <si>
    <t xml:space="preserve"> TSD-V200W</t>
  </si>
  <si>
    <r>
      <t>1</t>
    </r>
    <r>
      <rPr>
        <sz val="11"/>
        <rFont val="ＭＳ Ｐゴシック"/>
        <family val="3"/>
        <charset val="128"/>
      </rPr>
      <t>05341</t>
    </r>
    <phoneticPr fontId="2"/>
  </si>
  <si>
    <t xml:space="preserve"> TSD-V200S</t>
  </si>
  <si>
    <r>
      <t>1</t>
    </r>
    <r>
      <rPr>
        <sz val="11"/>
        <rFont val="ＭＳ Ｐゴシック"/>
        <family val="3"/>
        <charset val="128"/>
      </rPr>
      <t>03990</t>
    </r>
    <phoneticPr fontId="2"/>
  </si>
  <si>
    <t xml:space="preserve"> TSD-403RAN</t>
  </si>
  <si>
    <r>
      <t>1</t>
    </r>
    <r>
      <rPr>
        <sz val="11"/>
        <rFont val="ＭＳ Ｐゴシック"/>
        <family val="3"/>
        <charset val="128"/>
      </rPr>
      <t>04073</t>
    </r>
    <phoneticPr fontId="2"/>
  </si>
  <si>
    <t xml:space="preserve"> TSD-403LAN</t>
  </si>
  <si>
    <r>
      <t>1</t>
    </r>
    <r>
      <rPr>
        <sz val="11"/>
        <rFont val="ＭＳ Ｐゴシック"/>
        <family val="3"/>
        <charset val="128"/>
      </rPr>
      <t>04124</t>
    </r>
    <phoneticPr fontId="2"/>
  </si>
  <si>
    <t xml:space="preserve"> TSD-403LBN</t>
  </si>
  <si>
    <r>
      <t>1</t>
    </r>
    <r>
      <rPr>
        <sz val="11"/>
        <rFont val="ＭＳ Ｐゴシック"/>
        <family val="3"/>
        <charset val="128"/>
      </rPr>
      <t>04277</t>
    </r>
    <phoneticPr fontId="2"/>
  </si>
  <si>
    <t xml:space="preserve"> TSD-403LAS</t>
  </si>
  <si>
    <r>
      <t>1</t>
    </r>
    <r>
      <rPr>
        <sz val="11"/>
        <rFont val="ＭＳ Ｐゴシック"/>
        <family val="3"/>
        <charset val="128"/>
      </rPr>
      <t>03991</t>
    </r>
    <phoneticPr fontId="2"/>
  </si>
  <si>
    <t xml:space="preserve"> TSD-603RAN</t>
  </si>
  <si>
    <r>
      <t>1</t>
    </r>
    <r>
      <rPr>
        <sz val="11"/>
        <rFont val="ＭＳ Ｐゴシック"/>
        <family val="3"/>
        <charset val="128"/>
      </rPr>
      <t>03992</t>
    </r>
    <phoneticPr fontId="2"/>
  </si>
  <si>
    <t xml:space="preserve"> TSD-603RBN</t>
  </si>
  <si>
    <r>
      <t>1</t>
    </r>
    <r>
      <rPr>
        <sz val="11"/>
        <rFont val="ＭＳ Ｐゴシック"/>
        <family val="3"/>
        <charset val="128"/>
      </rPr>
      <t>03993</t>
    </r>
    <phoneticPr fontId="2"/>
  </si>
  <si>
    <t xml:space="preserve"> TSD-603REN</t>
  </si>
  <si>
    <t xml:space="preserve">取付け板      </t>
  </si>
  <si>
    <t xml:space="preserve"> T-085上部</t>
  </si>
  <si>
    <t>枚</t>
  </si>
  <si>
    <t xml:space="preserve"> T-084側面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</si>
</sst>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0.00_);[Red]\(0.00\)"/>
    <numFmt numFmtId="178" formatCode="#,##0_);[Red]\(#,##0\)"/>
    <numFmt numFmtId="179" formatCode="0.00_ "/>
    <numFmt numFmtId="180" formatCode="#,##0_ "/>
    <numFmt numFmtId="181" formatCode="#,##0.00_);[Red]\(#,##0.00\)"/>
    <numFmt numFmtId="182" formatCode="#,##0.00_ "/>
    <numFmt numFmtId="183" formatCode="#,##0.0_ "/>
    <numFmt numFmtId="184" formatCode="0.000_ "/>
  </numFmts>
  <fonts count="2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36"/>
      <color indexed="9"/>
      <name val="ＭＳ Ｐゴシック"/>
      <family val="3"/>
      <charset val="128"/>
    </font>
    <font>
      <sz val="20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  <font>
      <sz val="14"/>
      <name val="ＭＳ 明朝"/>
      <family val="1"/>
      <charset val="128"/>
    </font>
    <font>
      <sz val="9"/>
      <color rgb="FFFF000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name val="ＭＳ Ｐ明朝"/>
      <family val="1"/>
      <charset val="128"/>
    </font>
    <font>
      <vertAlign val="subscript"/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9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CC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/>
      <right/>
      <top/>
      <bottom/>
      <diagonal style="thin">
        <color auto="1"/>
      </diagonal>
    </border>
  </borders>
  <cellStyleXfs count="19">
    <xf numFmtId="0" fontId="0" fillId="0" borderId="0"/>
    <xf numFmtId="38" fontId="1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/>
    <xf numFmtId="0" fontId="11" fillId="0" borderId="0">
      <alignment vertical="center"/>
    </xf>
    <xf numFmtId="0" fontId="13" fillId="0" borderId="0"/>
    <xf numFmtId="38" fontId="1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7" fillId="0" borderId="0"/>
    <xf numFmtId="38" fontId="28" fillId="0" borderId="0" applyFont="0" applyFill="0" applyBorder="0" applyAlignment="0" applyProtection="0">
      <alignment vertical="center"/>
    </xf>
    <xf numFmtId="0" fontId="13" fillId="0" borderId="0"/>
    <xf numFmtId="38" fontId="13" fillId="0" borderId="0" applyFont="0" applyFill="0" applyBorder="0" applyAlignment="0" applyProtection="0">
      <alignment vertical="center"/>
    </xf>
    <xf numFmtId="0" fontId="11" fillId="0" borderId="0"/>
    <xf numFmtId="38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  <xf numFmtId="0" fontId="28" fillId="0" borderId="0"/>
  </cellStyleXfs>
  <cellXfs count="351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left"/>
    </xf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58" fontId="5" fillId="2" borderId="0" xfId="0" applyNumberFormat="1" applyFont="1" applyFill="1" applyAlignment="1">
      <alignment horizontal="center"/>
    </xf>
    <xf numFmtId="0" fontId="6" fillId="2" borderId="0" xfId="0" applyFont="1" applyFill="1"/>
    <xf numFmtId="0" fontId="0" fillId="5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2" borderId="1" xfId="0" quotePrefix="1" applyFill="1" applyBorder="1"/>
    <xf numFmtId="0" fontId="0" fillId="8" borderId="0" xfId="0" applyFill="1"/>
    <xf numFmtId="0" fontId="0" fillId="8" borderId="1" xfId="0" applyFill="1" applyBorder="1" applyAlignment="1">
      <alignment horizontal="left"/>
    </xf>
    <xf numFmtId="0" fontId="10" fillId="0" borderId="0" xfId="0" applyFont="1"/>
    <xf numFmtId="0" fontId="0" fillId="9" borderId="0" xfId="0" applyFill="1"/>
    <xf numFmtId="0" fontId="0" fillId="9" borderId="1" xfId="0" applyFill="1" applyBorder="1"/>
    <xf numFmtId="0" fontId="0" fillId="6" borderId="1" xfId="0" applyFill="1" applyBorder="1"/>
    <xf numFmtId="0" fontId="0" fillId="10" borderId="1" xfId="0" applyFill="1" applyBorder="1"/>
    <xf numFmtId="0" fontId="10" fillId="9" borderId="0" xfId="0" applyFont="1" applyFill="1"/>
    <xf numFmtId="176" fontId="0" fillId="0" borderId="0" xfId="0" applyNumberFormat="1"/>
    <xf numFmtId="49" fontId="0" fillId="0" borderId="0" xfId="0" applyNumberFormat="1" applyAlignment="1">
      <alignment horizontal="center"/>
    </xf>
    <xf numFmtId="0" fontId="12" fillId="2" borderId="0" xfId="0" applyFont="1" applyFill="1"/>
    <xf numFmtId="0" fontId="8" fillId="0" borderId="0" xfId="0" quotePrefix="1" applyFont="1"/>
    <xf numFmtId="0" fontId="14" fillId="0" borderId="0" xfId="0" applyFo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80" fontId="8" fillId="0" borderId="0" xfId="0" applyNumberFormat="1" applyFont="1"/>
    <xf numFmtId="179" fontId="8" fillId="0" borderId="0" xfId="0" applyNumberFormat="1" applyFont="1"/>
    <xf numFmtId="178" fontId="8" fillId="0" borderId="0" xfId="1" applyNumberFormat="1" applyFont="1" applyFill="1" applyBorder="1"/>
    <xf numFmtId="177" fontId="8" fillId="0" borderId="0" xfId="0" applyNumberFormat="1" applyFont="1"/>
    <xf numFmtId="0" fontId="8" fillId="15" borderId="0" xfId="0" applyFont="1" applyFill="1"/>
    <xf numFmtId="0" fontId="8" fillId="16" borderId="0" xfId="0" applyFont="1" applyFill="1"/>
    <xf numFmtId="180" fontId="8" fillId="0" borderId="0" xfId="0" applyNumberFormat="1" applyFont="1" applyAlignment="1">
      <alignment horizontal="left" vertical="center"/>
    </xf>
    <xf numFmtId="180" fontId="16" fillId="0" borderId="0" xfId="4" applyNumberFormat="1" applyFont="1">
      <alignment vertical="center"/>
    </xf>
    <xf numFmtId="180" fontId="16" fillId="17" borderId="0" xfId="4" applyNumberFormat="1" applyFont="1" applyFill="1">
      <alignment vertical="center"/>
    </xf>
    <xf numFmtId="180" fontId="8" fillId="17" borderId="0" xfId="0" applyNumberFormat="1" applyFont="1" applyFill="1"/>
    <xf numFmtId="178" fontId="16" fillId="0" borderId="0" xfId="4" applyNumberFormat="1" applyFont="1">
      <alignment vertical="center"/>
    </xf>
    <xf numFmtId="0" fontId="8" fillId="17" borderId="0" xfId="0" applyFont="1" applyFill="1"/>
    <xf numFmtId="0" fontId="8" fillId="0" borderId="0" xfId="0" applyFont="1" applyAlignment="1">
      <alignment horizontal="right"/>
    </xf>
    <xf numFmtId="180" fontId="18" fillId="0" borderId="0" xfId="0" applyNumberFormat="1" applyFont="1" applyAlignment="1">
      <alignment horizontal="right" vertical="center"/>
    </xf>
    <xf numFmtId="178" fontId="8" fillId="0" borderId="0" xfId="1" applyNumberFormat="1" applyFont="1" applyFill="1"/>
    <xf numFmtId="180" fontId="8" fillId="0" borderId="0" xfId="0" applyNumberFormat="1" applyFont="1" applyAlignment="1">
      <alignment horizontal="right"/>
    </xf>
    <xf numFmtId="0" fontId="8" fillId="3" borderId="0" xfId="0" applyFont="1" applyFill="1"/>
    <xf numFmtId="0" fontId="8" fillId="12" borderId="0" xfId="0" quotePrefix="1" applyFont="1" applyFill="1" applyAlignment="1">
      <alignment horizontal="left"/>
    </xf>
    <xf numFmtId="0" fontId="8" fillId="13" borderId="0" xfId="0" quotePrefix="1" applyFont="1" applyFill="1" applyAlignment="1">
      <alignment horizontal="left"/>
    </xf>
    <xf numFmtId="0" fontId="8" fillId="14" borderId="0" xfId="0" quotePrefix="1" applyFont="1" applyFill="1"/>
    <xf numFmtId="0" fontId="8" fillId="16" borderId="0" xfId="0" quotePrefix="1" applyFont="1" applyFill="1"/>
    <xf numFmtId="0" fontId="8" fillId="17" borderId="0" xfId="0" quotePrefix="1" applyFont="1" applyFill="1"/>
    <xf numFmtId="177" fontId="8" fillId="17" borderId="0" xfId="0" applyNumberFormat="1" applyFont="1" applyFill="1"/>
    <xf numFmtId="0" fontId="8" fillId="14" borderId="0" xfId="0" applyFont="1" applyFill="1"/>
    <xf numFmtId="0" fontId="8" fillId="4" borderId="0" xfId="0" applyFont="1" applyFill="1"/>
    <xf numFmtId="0" fontId="8" fillId="6" borderId="0" xfId="0" applyFont="1" applyFill="1" applyAlignment="1">
      <alignment horizontal="center"/>
    </xf>
    <xf numFmtId="49" fontId="8" fillId="0" borderId="0" xfId="0" applyNumberFormat="1" applyFont="1"/>
    <xf numFmtId="49" fontId="8" fillId="0" borderId="0" xfId="0" applyNumberFormat="1" applyFont="1" applyAlignment="1">
      <alignment horizontal="left"/>
    </xf>
    <xf numFmtId="179" fontId="16" fillId="17" borderId="0" xfId="4" applyNumberFormat="1" applyFont="1" applyFill="1">
      <alignment vertical="center"/>
    </xf>
    <xf numFmtId="179" fontId="8" fillId="17" borderId="0" xfId="0" applyNumberFormat="1" applyFont="1" applyFill="1"/>
    <xf numFmtId="0" fontId="8" fillId="17" borderId="0" xfId="0" applyFont="1" applyFill="1" applyAlignment="1">
      <alignment horizontal="left"/>
    </xf>
    <xf numFmtId="180" fontId="8" fillId="17" borderId="0" xfId="0" applyNumberFormat="1" applyFont="1" applyFill="1" applyAlignment="1">
      <alignment horizontal="right"/>
    </xf>
    <xf numFmtId="179" fontId="8" fillId="17" borderId="0" xfId="0" applyNumberFormat="1" applyFont="1" applyFill="1" applyAlignment="1">
      <alignment horizontal="right"/>
    </xf>
    <xf numFmtId="38" fontId="8" fillId="0" borderId="0" xfId="1" applyFont="1" applyBorder="1"/>
    <xf numFmtId="177" fontId="8" fillId="0" borderId="0" xfId="0" applyNumberFormat="1" applyFont="1" applyAlignment="1">
      <alignment horizontal="center"/>
    </xf>
    <xf numFmtId="0" fontId="8" fillId="18" borderId="0" xfId="0" applyFont="1" applyFill="1"/>
    <xf numFmtId="38" fontId="8" fillId="0" borderId="0" xfId="0" applyNumberFormat="1" applyFont="1"/>
    <xf numFmtId="38" fontId="8" fillId="0" borderId="0" xfId="0" applyNumberFormat="1" applyFont="1" applyAlignment="1">
      <alignment shrinkToFit="1"/>
    </xf>
    <xf numFmtId="40" fontId="8" fillId="0" borderId="0" xfId="8" applyNumberFormat="1" applyFont="1" applyBorder="1" applyAlignment="1"/>
    <xf numFmtId="0" fontId="8" fillId="19" borderId="0" xfId="0" applyFont="1" applyFill="1"/>
    <xf numFmtId="180" fontId="8" fillId="19" borderId="0" xfId="0" applyNumberFormat="1" applyFont="1" applyFill="1"/>
    <xf numFmtId="177" fontId="8" fillId="19" borderId="0" xfId="0" applyNumberFormat="1" applyFont="1" applyFill="1"/>
    <xf numFmtId="49" fontId="8" fillId="19" borderId="0" xfId="0" applyNumberFormat="1" applyFont="1" applyFill="1"/>
    <xf numFmtId="180" fontId="17" fillId="0" borderId="0" xfId="4" applyNumberFormat="1" applyFont="1">
      <alignment vertical="center"/>
    </xf>
    <xf numFmtId="2" fontId="8" fillId="0" borderId="0" xfId="0" applyNumberFormat="1" applyFont="1"/>
    <xf numFmtId="180" fontId="8" fillId="20" borderId="0" xfId="0" applyNumberFormat="1" applyFont="1" applyFill="1"/>
    <xf numFmtId="180" fontId="20" fillId="20" borderId="0" xfId="0" applyNumberFormat="1" applyFont="1" applyFill="1"/>
    <xf numFmtId="179" fontId="8" fillId="21" borderId="0" xfId="0" applyNumberFormat="1" applyFont="1" applyFill="1"/>
    <xf numFmtId="0" fontId="8" fillId="21" borderId="0" xfId="0" applyFont="1" applyFill="1"/>
    <xf numFmtId="0" fontId="8" fillId="22" borderId="0" xfId="0" applyFont="1" applyFill="1"/>
    <xf numFmtId="0" fontId="16" fillId="0" borderId="0" xfId="0" applyFont="1" applyAlignment="1">
      <alignment vertical="center"/>
    </xf>
    <xf numFmtId="3" fontId="16" fillId="0" borderId="0" xfId="1" applyNumberFormat="1" applyFont="1" applyFill="1" applyAlignment="1">
      <alignment vertical="center"/>
    </xf>
    <xf numFmtId="0" fontId="16" fillId="0" borderId="0" xfId="0" applyFont="1"/>
    <xf numFmtId="3" fontId="16" fillId="0" borderId="0" xfId="1" applyNumberFormat="1" applyFont="1" applyFill="1" applyAlignment="1"/>
    <xf numFmtId="179" fontId="16" fillId="0" borderId="0" xfId="0" applyNumberFormat="1" applyFont="1"/>
    <xf numFmtId="0" fontId="16" fillId="19" borderId="0" xfId="0" applyFont="1" applyFill="1" applyAlignment="1">
      <alignment vertical="center"/>
    </xf>
    <xf numFmtId="180" fontId="16" fillId="0" borderId="0" xfId="1" applyNumberFormat="1" applyFont="1" applyFill="1" applyAlignment="1">
      <alignment vertical="center"/>
    </xf>
    <xf numFmtId="38" fontId="8" fillId="19" borderId="0" xfId="0" applyNumberFormat="1" applyFont="1" applyFill="1"/>
    <xf numFmtId="3" fontId="16" fillId="19" borderId="0" xfId="1" applyNumberFormat="1" applyFont="1" applyFill="1" applyAlignment="1"/>
    <xf numFmtId="38" fontId="8" fillId="19" borderId="0" xfId="0" applyNumberFormat="1" applyFont="1" applyFill="1" applyAlignment="1">
      <alignment shrinkToFit="1"/>
    </xf>
    <xf numFmtId="0" fontId="16" fillId="19" borderId="0" xfId="0" applyFont="1" applyFill="1"/>
    <xf numFmtId="179" fontId="16" fillId="0" borderId="0" xfId="0" applyNumberFormat="1" applyFont="1" applyAlignment="1">
      <alignment horizontal="right" vertical="center"/>
    </xf>
    <xf numFmtId="179" fontId="16" fillId="19" borderId="0" xfId="0" applyNumberFormat="1" applyFont="1" applyFill="1" applyAlignment="1">
      <alignment horizontal="right" vertical="center"/>
    </xf>
    <xf numFmtId="0" fontId="8" fillId="23" borderId="0" xfId="0" applyFont="1" applyFill="1"/>
    <xf numFmtId="49" fontId="20" fillId="0" borderId="0" xfId="0" applyNumberFormat="1" applyFont="1"/>
    <xf numFmtId="49" fontId="20" fillId="0" borderId="0" xfId="0" applyNumberFormat="1" applyFont="1" applyAlignment="1">
      <alignment horizontal="left"/>
    </xf>
    <xf numFmtId="49" fontId="20" fillId="19" borderId="0" xfId="0" applyNumberFormat="1" applyFont="1" applyFill="1"/>
    <xf numFmtId="179" fontId="8" fillId="15" borderId="0" xfId="0" applyNumberFormat="1" applyFont="1" applyFill="1"/>
    <xf numFmtId="180" fontId="17" fillId="0" borderId="0" xfId="1" applyNumberFormat="1" applyFont="1" applyAlignment="1">
      <alignment vertical="center"/>
    </xf>
    <xf numFmtId="180" fontId="17" fillId="0" borderId="0" xfId="1" applyNumberFormat="1" applyFont="1" applyFill="1" applyAlignment="1">
      <alignment vertical="center"/>
    </xf>
    <xf numFmtId="180" fontId="22" fillId="0" borderId="0" xfId="0" applyNumberFormat="1" applyFont="1" applyAlignment="1">
      <alignment horizontal="right"/>
    </xf>
    <xf numFmtId="178" fontId="8" fillId="0" borderId="0" xfId="0" applyNumberFormat="1" applyFont="1"/>
    <xf numFmtId="180" fontId="16" fillId="20" borderId="0" xfId="1" applyNumberFormat="1" applyFont="1" applyFill="1" applyAlignment="1">
      <alignment vertical="center"/>
    </xf>
    <xf numFmtId="180" fontId="17" fillId="20" borderId="0" xfId="1" applyNumberFormat="1" applyFont="1" applyFill="1" applyAlignment="1">
      <alignment vertical="center"/>
    </xf>
    <xf numFmtId="180" fontId="8" fillId="14" borderId="0" xfId="0" applyNumberFormat="1" applyFont="1" applyFill="1" applyAlignment="1">
      <alignment horizontal="right"/>
    </xf>
    <xf numFmtId="179" fontId="17" fillId="0" borderId="0" xfId="0" applyNumberFormat="1" applyFont="1" applyAlignment="1">
      <alignment vertical="center"/>
    </xf>
    <xf numFmtId="180" fontId="8" fillId="14" borderId="0" xfId="0" applyNumberFormat="1" applyFont="1" applyFill="1"/>
    <xf numFmtId="179" fontId="8" fillId="19" borderId="0" xfId="0" applyNumberFormat="1" applyFont="1" applyFill="1"/>
    <xf numFmtId="179" fontId="17" fillId="19" borderId="0" xfId="0" applyNumberFormat="1" applyFont="1" applyFill="1" applyAlignment="1">
      <alignment vertical="center"/>
    </xf>
    <xf numFmtId="180" fontId="16" fillId="0" borderId="0" xfId="1" applyNumberFormat="1" applyFont="1" applyAlignment="1">
      <alignment vertical="center"/>
    </xf>
    <xf numFmtId="0" fontId="8" fillId="0" borderId="0" xfId="9" applyFont="1">
      <alignment vertical="center"/>
    </xf>
    <xf numFmtId="178" fontId="8" fillId="0" borderId="0" xfId="0" applyNumberFormat="1" applyFont="1" applyAlignment="1">
      <alignment horizontal="right"/>
    </xf>
    <xf numFmtId="179" fontId="8" fillId="16" borderId="0" xfId="0" applyNumberFormat="1" applyFont="1" applyFill="1"/>
    <xf numFmtId="180" fontId="8" fillId="20" borderId="0" xfId="0" applyNumberFormat="1" applyFont="1" applyFill="1" applyAlignment="1">
      <alignment horizontal="right"/>
    </xf>
    <xf numFmtId="0" fontId="8" fillId="24" borderId="0" xfId="0" quotePrefix="1" applyFont="1" applyFill="1"/>
    <xf numFmtId="0" fontId="8" fillId="0" borderId="0" xfId="0" applyFont="1" applyAlignment="1">
      <alignment horizontal="left" vertical="center"/>
    </xf>
    <xf numFmtId="179" fontId="8" fillId="0" borderId="0" xfId="0" applyNumberFormat="1" applyFont="1" applyAlignment="1">
      <alignment horizontal="right" vertical="center"/>
    </xf>
    <xf numFmtId="0" fontId="8" fillId="20" borderId="0" xfId="0" quotePrefix="1" applyFont="1" applyFill="1"/>
    <xf numFmtId="178" fontId="8" fillId="0" borderId="0" xfId="0" applyNumberFormat="1" applyFont="1" applyAlignment="1">
      <alignment horizontal="center"/>
    </xf>
    <xf numFmtId="17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 vertical="center"/>
    </xf>
    <xf numFmtId="178" fontId="18" fillId="0" borderId="0" xfId="1" applyNumberFormat="1" applyFont="1" applyAlignment="1">
      <alignment vertical="center"/>
    </xf>
    <xf numFmtId="0" fontId="18" fillId="0" borderId="0" xfId="0" applyFont="1" applyAlignment="1">
      <alignment horizontal="left" vertical="center"/>
    </xf>
    <xf numFmtId="180" fontId="18" fillId="0" borderId="0" xfId="0" applyNumberFormat="1" applyFont="1" applyAlignment="1">
      <alignment vertical="center"/>
    </xf>
    <xf numFmtId="0" fontId="18" fillId="0" borderId="0" xfId="0" applyFont="1" applyAlignment="1">
      <alignment horizontal="right" vertical="center"/>
    </xf>
    <xf numFmtId="0" fontId="16" fillId="20" borderId="0" xfId="0" applyFont="1" applyFill="1" applyAlignment="1">
      <alignment vertical="center"/>
    </xf>
    <xf numFmtId="49" fontId="20" fillId="20" borderId="0" xfId="0" applyNumberFormat="1" applyFont="1" applyFill="1"/>
    <xf numFmtId="49" fontId="8" fillId="20" borderId="0" xfId="0" applyNumberFormat="1" applyFont="1" applyFill="1"/>
    <xf numFmtId="0" fontId="8" fillId="20" borderId="0" xfId="0" applyFont="1" applyFill="1"/>
    <xf numFmtId="177" fontId="8" fillId="20" borderId="0" xfId="0" applyNumberFormat="1" applyFont="1" applyFill="1"/>
    <xf numFmtId="49" fontId="20" fillId="25" borderId="0" xfId="0" applyNumberFormat="1" applyFont="1" applyFill="1"/>
    <xf numFmtId="0" fontId="8" fillId="25" borderId="0" xfId="0" applyFont="1" applyFill="1"/>
    <xf numFmtId="0" fontId="8" fillId="11" borderId="0" xfId="0" applyFont="1" applyFill="1"/>
    <xf numFmtId="177" fontId="8" fillId="16" borderId="0" xfId="0" applyNumberFormat="1" applyFont="1" applyFill="1"/>
    <xf numFmtId="180" fontId="14" fillId="0" borderId="0" xfId="0" applyNumberFormat="1" applyFont="1"/>
    <xf numFmtId="0" fontId="8" fillId="11" borderId="0" xfId="0" applyFont="1" applyFill="1" applyAlignment="1">
      <alignment wrapText="1"/>
    </xf>
    <xf numFmtId="49" fontId="20" fillId="23" borderId="0" xfId="0" applyNumberFormat="1" applyFont="1" applyFill="1" applyAlignment="1">
      <alignment horizontal="left"/>
    </xf>
    <xf numFmtId="0" fontId="8" fillId="13" borderId="0" xfId="0" applyFont="1" applyFill="1"/>
    <xf numFmtId="0" fontId="8" fillId="12" borderId="0" xfId="0" applyFont="1" applyFill="1"/>
    <xf numFmtId="49" fontId="8" fillId="23" borderId="0" xfId="0" applyNumberFormat="1" applyFont="1" applyFill="1"/>
    <xf numFmtId="0" fontId="8" fillId="23" borderId="0" xfId="0" applyFont="1" applyFill="1" applyAlignment="1">
      <alignment horizontal="left" vertical="center"/>
    </xf>
    <xf numFmtId="0" fontId="15" fillId="15" borderId="0" xfId="0" applyFont="1" applyFill="1"/>
    <xf numFmtId="178" fontId="8" fillId="0" borderId="0" xfId="1" applyNumberFormat="1" applyFont="1"/>
    <xf numFmtId="0" fontId="15" fillId="0" borderId="0" xfId="0" applyFont="1"/>
    <xf numFmtId="177" fontId="8" fillId="15" borderId="0" xfId="0" applyNumberFormat="1" applyFont="1" applyFill="1"/>
    <xf numFmtId="0" fontId="8" fillId="14" borderId="0" xfId="9" applyFont="1" applyFill="1">
      <alignment vertical="center"/>
    </xf>
    <xf numFmtId="180" fontId="8" fillId="0" borderId="0" xfId="9" applyNumberFormat="1" applyFont="1">
      <alignment vertical="center"/>
    </xf>
    <xf numFmtId="179" fontId="8" fillId="0" borderId="0" xfId="9" applyNumberFormat="1" applyFont="1">
      <alignment vertical="center"/>
    </xf>
    <xf numFmtId="0" fontId="8" fillId="17" borderId="0" xfId="9" applyFont="1" applyFill="1">
      <alignment vertical="center"/>
    </xf>
    <xf numFmtId="0" fontId="16" fillId="17" borderId="0" xfId="4" applyFont="1" applyFill="1">
      <alignment vertical="center"/>
    </xf>
    <xf numFmtId="180" fontId="8" fillId="20" borderId="0" xfId="9" applyNumberFormat="1" applyFont="1" applyFill="1">
      <alignment vertical="center"/>
    </xf>
    <xf numFmtId="179" fontId="8" fillId="15" borderId="0" xfId="9" applyNumberFormat="1" applyFont="1" applyFill="1">
      <alignment vertical="center"/>
    </xf>
    <xf numFmtId="180" fontId="20" fillId="20" borderId="0" xfId="9" applyNumberFormat="1" applyFont="1" applyFill="1">
      <alignment vertical="center"/>
    </xf>
    <xf numFmtId="179" fontId="8" fillId="17" borderId="0" xfId="9" applyNumberFormat="1" applyFont="1" applyFill="1">
      <alignment vertical="center"/>
    </xf>
    <xf numFmtId="180" fontId="8" fillId="17" borderId="0" xfId="9" applyNumberFormat="1" applyFont="1" applyFill="1">
      <alignment vertical="center"/>
    </xf>
    <xf numFmtId="182" fontId="8" fillId="17" borderId="0" xfId="0" applyNumberFormat="1" applyFont="1" applyFill="1"/>
    <xf numFmtId="179" fontId="8" fillId="21" borderId="0" xfId="9" applyNumberFormat="1" applyFont="1" applyFill="1">
      <alignment vertical="center"/>
    </xf>
    <xf numFmtId="0" fontId="20" fillId="17" borderId="0" xfId="9" applyFont="1" applyFill="1">
      <alignment vertical="center"/>
    </xf>
    <xf numFmtId="180" fontId="20" fillId="17" borderId="0" xfId="9" applyNumberFormat="1" applyFont="1" applyFill="1">
      <alignment vertical="center"/>
    </xf>
    <xf numFmtId="0" fontId="8" fillId="22" borderId="0" xfId="9" applyFont="1" applyFill="1">
      <alignment vertical="center"/>
    </xf>
    <xf numFmtId="0" fontId="20" fillId="22" borderId="0" xfId="9" applyFont="1" applyFill="1">
      <alignment vertical="center"/>
    </xf>
    <xf numFmtId="0" fontId="8" fillId="21" borderId="0" xfId="9" applyFont="1" applyFill="1">
      <alignment vertical="center"/>
    </xf>
    <xf numFmtId="179" fontId="20" fillId="15" borderId="0" xfId="9" applyNumberFormat="1" applyFont="1" applyFill="1">
      <alignment vertical="center"/>
    </xf>
    <xf numFmtId="180" fontId="8" fillId="17" borderId="0" xfId="9" applyNumberFormat="1" applyFont="1" applyFill="1" applyAlignment="1">
      <alignment horizontal="right" vertical="center"/>
    </xf>
    <xf numFmtId="179" fontId="8" fillId="17" borderId="0" xfId="9" applyNumberFormat="1" applyFont="1" applyFill="1" applyAlignment="1">
      <alignment horizontal="right" vertical="center"/>
    </xf>
    <xf numFmtId="179" fontId="20" fillId="17" borderId="0" xfId="9" applyNumberFormat="1" applyFont="1" applyFill="1">
      <alignment vertical="center"/>
    </xf>
    <xf numFmtId="179" fontId="20" fillId="21" borderId="0" xfId="9" applyNumberFormat="1" applyFont="1" applyFill="1">
      <alignment vertical="center"/>
    </xf>
    <xf numFmtId="178" fontId="8" fillId="17" borderId="0" xfId="9" applyNumberFormat="1" applyFont="1" applyFill="1">
      <alignment vertical="center"/>
    </xf>
    <xf numFmtId="181" fontId="8" fillId="17" borderId="0" xfId="9" applyNumberFormat="1" applyFont="1" applyFill="1">
      <alignment vertical="center"/>
    </xf>
    <xf numFmtId="182" fontId="8" fillId="17" borderId="0" xfId="9" applyNumberFormat="1" applyFont="1" applyFill="1">
      <alignment vertical="center"/>
    </xf>
    <xf numFmtId="182" fontId="8" fillId="21" borderId="0" xfId="9" applyNumberFormat="1" applyFont="1" applyFill="1">
      <alignment vertical="center"/>
    </xf>
    <xf numFmtId="180" fontId="8" fillId="25" borderId="0" xfId="1" quotePrefix="1" applyNumberFormat="1" applyFont="1" applyFill="1"/>
    <xf numFmtId="0" fontId="16" fillId="0" borderId="0" xfId="0" quotePrefix="1" applyFont="1" applyAlignment="1">
      <alignment vertical="center"/>
    </xf>
    <xf numFmtId="0" fontId="8" fillId="26" borderId="0" xfId="0" applyFont="1" applyFill="1"/>
    <xf numFmtId="0" fontId="8" fillId="26" borderId="0" xfId="0" quotePrefix="1" applyFont="1" applyFill="1"/>
    <xf numFmtId="179" fontId="8" fillId="20" borderId="0" xfId="0" applyNumberFormat="1" applyFont="1" applyFill="1"/>
    <xf numFmtId="0" fontId="8" fillId="20" borderId="0" xfId="9" applyFont="1" applyFill="1">
      <alignment vertical="center"/>
    </xf>
    <xf numFmtId="179" fontId="8" fillId="20" borderId="0" xfId="9" applyNumberFormat="1" applyFont="1" applyFill="1">
      <alignment vertical="center"/>
    </xf>
    <xf numFmtId="0" fontId="0" fillId="2" borderId="0" xfId="0" quotePrefix="1" applyFill="1"/>
    <xf numFmtId="182" fontId="8" fillId="20" borderId="0" xfId="9" applyNumberFormat="1" applyFont="1" applyFill="1">
      <alignment vertical="center"/>
    </xf>
    <xf numFmtId="178" fontId="8" fillId="17" borderId="0" xfId="0" applyNumberFormat="1" applyFont="1" applyFill="1"/>
    <xf numFmtId="177" fontId="8" fillId="17" borderId="0" xfId="9" applyNumberFormat="1" applyFont="1" applyFill="1">
      <alignment vertical="center"/>
    </xf>
    <xf numFmtId="178" fontId="8" fillId="20" borderId="0" xfId="0" applyNumberFormat="1" applyFont="1" applyFill="1"/>
    <xf numFmtId="182" fontId="8" fillId="0" borderId="0" xfId="9" applyNumberFormat="1" applyFont="1">
      <alignment vertical="center"/>
    </xf>
    <xf numFmtId="177" fontId="8" fillId="0" borderId="0" xfId="9" applyNumberFormat="1" applyFont="1">
      <alignment vertical="center"/>
    </xf>
    <xf numFmtId="0" fontId="8" fillId="2" borderId="0" xfId="0" applyFont="1" applyFill="1" applyAlignment="1">
      <alignment horizontal="center"/>
    </xf>
    <xf numFmtId="180" fontId="8" fillId="27" borderId="0" xfId="0" applyNumberFormat="1" applyFont="1" applyFill="1"/>
    <xf numFmtId="49" fontId="20" fillId="27" borderId="0" xfId="0" applyNumberFormat="1" applyFont="1" applyFill="1"/>
    <xf numFmtId="0" fontId="8" fillId="27" borderId="0" xfId="0" applyFont="1" applyFill="1"/>
    <xf numFmtId="177" fontId="8" fillId="27" borderId="0" xfId="0" applyNumberFormat="1" applyFont="1" applyFill="1"/>
    <xf numFmtId="49" fontId="8" fillId="27" borderId="0" xfId="0" applyNumberFormat="1" applyFont="1" applyFill="1"/>
    <xf numFmtId="179" fontId="8" fillId="27" borderId="0" xfId="0" applyNumberFormat="1" applyFont="1" applyFill="1"/>
    <xf numFmtId="0" fontId="8" fillId="27" borderId="0" xfId="0" quotePrefix="1" applyFont="1" applyFill="1"/>
    <xf numFmtId="0" fontId="8" fillId="14" borderId="24" xfId="0" applyFont="1" applyFill="1" applyBorder="1"/>
    <xf numFmtId="49" fontId="8" fillId="15" borderId="0" xfId="0" applyNumberFormat="1" applyFont="1" applyFill="1"/>
    <xf numFmtId="0" fontId="8" fillId="15" borderId="0" xfId="0" quotePrefix="1" applyFont="1" applyFill="1"/>
    <xf numFmtId="180" fontId="8" fillId="15" borderId="0" xfId="0" applyNumberFormat="1" applyFont="1" applyFill="1"/>
    <xf numFmtId="2" fontId="8" fillId="15" borderId="0" xfId="0" applyNumberFormat="1" applyFont="1" applyFill="1" applyAlignment="1">
      <alignment horizontal="center"/>
    </xf>
    <xf numFmtId="49" fontId="20" fillId="15" borderId="0" xfId="0" applyNumberFormat="1" applyFont="1" applyFill="1"/>
    <xf numFmtId="180" fontId="8" fillId="27" borderId="0" xfId="1" quotePrefix="1" applyNumberFormat="1" applyFont="1" applyFill="1"/>
    <xf numFmtId="180" fontId="25" fillId="0" borderId="0" xfId="1" quotePrefix="1" applyNumberFormat="1" applyFont="1" applyFill="1"/>
    <xf numFmtId="2" fontId="8" fillId="0" borderId="0" xfId="0" applyNumberFormat="1" applyFont="1" applyAlignment="1">
      <alignment horizontal="center"/>
    </xf>
    <xf numFmtId="180" fontId="8" fillId="15" borderId="0" xfId="9" applyNumberFormat="1" applyFont="1" applyFill="1">
      <alignment vertical="center"/>
    </xf>
    <xf numFmtId="180" fontId="8" fillId="0" borderId="0" xfId="0" applyNumberFormat="1" applyFont="1" applyAlignment="1">
      <alignment shrinkToFit="1"/>
    </xf>
    <xf numFmtId="180" fontId="17" fillId="17" borderId="0" xfId="4" applyNumberFormat="1" applyFont="1" applyFill="1">
      <alignment vertical="center"/>
    </xf>
    <xf numFmtId="0" fontId="17" fillId="17" borderId="0" xfId="4" applyFont="1" applyFill="1">
      <alignment vertical="center"/>
    </xf>
    <xf numFmtId="179" fontId="17" fillId="17" borderId="0" xfId="4" applyNumberFormat="1" applyFont="1" applyFill="1">
      <alignment vertical="center"/>
    </xf>
    <xf numFmtId="49" fontId="8" fillId="0" borderId="0" xfId="0" applyNumberFormat="1" applyFont="1" applyAlignment="1">
      <alignment vertical="center"/>
    </xf>
    <xf numFmtId="177" fontId="8" fillId="15" borderId="0" xfId="0" applyNumberFormat="1" applyFont="1" applyFill="1" applyAlignment="1">
      <alignment horizontal="right"/>
    </xf>
    <xf numFmtId="180" fontId="8" fillId="15" borderId="0" xfId="0" applyNumberFormat="1" applyFont="1" applyFill="1" applyAlignment="1">
      <alignment horizontal="right"/>
    </xf>
    <xf numFmtId="180" fontId="8" fillId="16" borderId="0" xfId="0" applyNumberFormat="1" applyFont="1" applyFill="1" applyAlignment="1">
      <alignment horizontal="right"/>
    </xf>
    <xf numFmtId="0" fontId="8" fillId="15" borderId="0" xfId="9" applyFont="1" applyFill="1">
      <alignment vertical="center"/>
    </xf>
    <xf numFmtId="0" fontId="8" fillId="28" borderId="0" xfId="0" applyFont="1" applyFill="1"/>
    <xf numFmtId="180" fontId="8" fillId="28" borderId="0" xfId="0" applyNumberFormat="1" applyFont="1" applyFill="1"/>
    <xf numFmtId="180" fontId="17" fillId="0" borderId="0" xfId="1" applyNumberFormat="1" applyFont="1" applyFill="1" applyBorder="1" applyAlignment="1">
      <alignment vertical="center"/>
    </xf>
    <xf numFmtId="49" fontId="20" fillId="28" borderId="0" xfId="0" applyNumberFormat="1" applyFont="1" applyFill="1"/>
    <xf numFmtId="180" fontId="8" fillId="29" borderId="0" xfId="0" applyNumberFormat="1" applyFont="1" applyFill="1"/>
    <xf numFmtId="180" fontId="8" fillId="30" borderId="0" xfId="0" applyNumberFormat="1" applyFont="1" applyFill="1"/>
    <xf numFmtId="49" fontId="26" fillId="0" borderId="0" xfId="0" quotePrefix="1" applyNumberFormat="1" applyFont="1" applyAlignment="1">
      <alignment vertical="center"/>
    </xf>
    <xf numFmtId="38" fontId="8" fillId="0" borderId="0" xfId="1" applyFont="1" applyFill="1" applyBorder="1" applyAlignment="1">
      <alignment horizontal="right"/>
    </xf>
    <xf numFmtId="38" fontId="8" fillId="0" borderId="0" xfId="0" applyNumberFormat="1" applyFont="1" applyAlignment="1">
      <alignment horizontal="right"/>
    </xf>
    <xf numFmtId="38" fontId="8" fillId="0" borderId="0" xfId="0" applyNumberFormat="1" applyFont="1" applyAlignment="1">
      <alignment horizontal="right" vertical="center"/>
    </xf>
    <xf numFmtId="180" fontId="17" fillId="28" borderId="0" xfId="7" applyNumberFormat="1" applyFont="1" applyFill="1" applyBorder="1" applyAlignment="1">
      <alignment vertical="center"/>
    </xf>
    <xf numFmtId="49" fontId="8" fillId="28" borderId="0" xfId="0" applyNumberFormat="1" applyFont="1" applyFill="1" applyAlignment="1">
      <alignment horizontal="left"/>
    </xf>
    <xf numFmtId="180" fontId="16" fillId="28" borderId="0" xfId="1" applyNumberFormat="1" applyFont="1" applyFill="1" applyAlignment="1">
      <alignment vertical="center"/>
    </xf>
    <xf numFmtId="180" fontId="8" fillId="28" borderId="0" xfId="0" applyNumberFormat="1" applyFont="1" applyFill="1" applyAlignment="1">
      <alignment horizontal="right"/>
    </xf>
    <xf numFmtId="0" fontId="8" fillId="31" borderId="0" xfId="0" applyFont="1" applyFill="1"/>
    <xf numFmtId="180" fontId="17" fillId="31" borderId="0" xfId="1" applyNumberFormat="1" applyFont="1" applyFill="1" applyBorder="1" applyAlignment="1">
      <alignment vertical="center"/>
    </xf>
    <xf numFmtId="178" fontId="8" fillId="31" borderId="0" xfId="1" applyNumberFormat="1" applyFont="1" applyFill="1"/>
    <xf numFmtId="180" fontId="8" fillId="31" borderId="0" xfId="0" applyNumberFormat="1" applyFont="1" applyFill="1"/>
    <xf numFmtId="38" fontId="17" fillId="31" borderId="0" xfId="1" applyFont="1" applyFill="1" applyBorder="1" applyAlignment="1">
      <alignment vertical="center"/>
    </xf>
    <xf numFmtId="38" fontId="8" fillId="31" borderId="0" xfId="1" applyFont="1" applyFill="1" applyAlignment="1">
      <alignment horizontal="center"/>
    </xf>
    <xf numFmtId="180" fontId="8" fillId="0" borderId="0" xfId="1" applyNumberFormat="1" applyFont="1" applyFill="1"/>
    <xf numFmtId="180" fontId="17" fillId="31" borderId="0" xfId="7" applyNumberFormat="1" applyFont="1" applyFill="1" applyBorder="1" applyAlignment="1">
      <alignment vertical="center"/>
    </xf>
    <xf numFmtId="38" fontId="8" fillId="31" borderId="0" xfId="1" applyFont="1" applyFill="1"/>
    <xf numFmtId="9" fontId="8" fillId="0" borderId="0" xfId="0" applyNumberFormat="1" applyFont="1"/>
    <xf numFmtId="0" fontId="8" fillId="31" borderId="0" xfId="9" applyFont="1" applyFill="1">
      <alignment vertical="center"/>
    </xf>
    <xf numFmtId="179" fontId="8" fillId="31" borderId="0" xfId="0" applyNumberFormat="1" applyFont="1" applyFill="1"/>
    <xf numFmtId="180" fontId="8" fillId="31" borderId="0" xfId="0" applyNumberFormat="1" applyFont="1" applyFill="1" applyAlignment="1">
      <alignment horizontal="left" vertical="center"/>
    </xf>
    <xf numFmtId="0" fontId="8" fillId="31" borderId="0" xfId="0" applyFont="1" applyFill="1" applyAlignment="1">
      <alignment horizontal="left"/>
    </xf>
    <xf numFmtId="49" fontId="20" fillId="31" borderId="0" xfId="0" applyNumberFormat="1" applyFont="1" applyFill="1"/>
    <xf numFmtId="0" fontId="20" fillId="31" borderId="0" xfId="0" applyFont="1" applyFill="1"/>
    <xf numFmtId="49" fontId="8" fillId="31" borderId="0" xfId="0" applyNumberFormat="1" applyFont="1" applyFill="1"/>
    <xf numFmtId="180" fontId="8" fillId="0" borderId="0" xfId="0" applyNumberFormat="1" applyFont="1" applyAlignment="1">
      <alignment horizontal="left"/>
    </xf>
    <xf numFmtId="179" fontId="8" fillId="31" borderId="0" xfId="9" applyNumberFormat="1" applyFont="1" applyFill="1">
      <alignment vertical="center"/>
    </xf>
    <xf numFmtId="0" fontId="8" fillId="32" borderId="0" xfId="0" applyFont="1" applyFill="1"/>
    <xf numFmtId="180" fontId="17" fillId="32" borderId="0" xfId="1" applyNumberFormat="1" applyFont="1" applyFill="1" applyBorder="1" applyAlignment="1">
      <alignment vertical="center"/>
    </xf>
    <xf numFmtId="180" fontId="8" fillId="32" borderId="0" xfId="0" applyNumberFormat="1" applyFont="1" applyFill="1"/>
    <xf numFmtId="38" fontId="17" fillId="32" borderId="0" xfId="1" applyFont="1" applyFill="1" applyBorder="1" applyAlignment="1">
      <alignment vertical="center"/>
    </xf>
    <xf numFmtId="180" fontId="20" fillId="32" borderId="0" xfId="0" applyNumberFormat="1" applyFont="1" applyFill="1"/>
    <xf numFmtId="49" fontId="20" fillId="32" borderId="0" xfId="0" applyNumberFormat="1" applyFont="1" applyFill="1" applyAlignment="1">
      <alignment horizontal="left"/>
    </xf>
    <xf numFmtId="49" fontId="20" fillId="32" borderId="0" xfId="0" applyNumberFormat="1" applyFont="1" applyFill="1"/>
    <xf numFmtId="180" fontId="16" fillId="32" borderId="0" xfId="1" applyNumberFormat="1" applyFont="1" applyFill="1" applyBorder="1" applyAlignment="1">
      <alignment vertical="center"/>
    </xf>
    <xf numFmtId="180" fontId="17" fillId="32" borderId="0" xfId="7" applyNumberFormat="1" applyFont="1" applyFill="1" applyBorder="1" applyAlignment="1">
      <alignment vertical="center"/>
    </xf>
    <xf numFmtId="180" fontId="17" fillId="32" borderId="0" xfId="1" applyNumberFormat="1" applyFont="1" applyFill="1" applyAlignment="1">
      <alignment vertical="center"/>
    </xf>
    <xf numFmtId="180" fontId="16" fillId="32" borderId="0" xfId="1" applyNumberFormat="1" applyFont="1" applyFill="1" applyAlignment="1">
      <alignment vertical="center"/>
    </xf>
    <xf numFmtId="183" fontId="8" fillId="0" borderId="0" xfId="0" applyNumberFormat="1" applyFont="1"/>
    <xf numFmtId="184" fontId="8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1" fillId="0" borderId="0" xfId="0" applyFont="1"/>
    <xf numFmtId="180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176" fontId="1" fillId="0" borderId="4" xfId="1" applyNumberFormat="1" applyFont="1" applyFill="1" applyBorder="1"/>
    <xf numFmtId="177" fontId="1" fillId="0" borderId="10" xfId="0" applyNumberFormat="1" applyFont="1" applyBorder="1"/>
    <xf numFmtId="49" fontId="1" fillId="0" borderId="5" xfId="0" applyNumberFormat="1" applyFont="1" applyBorder="1" applyAlignment="1">
      <alignment horizontal="center"/>
    </xf>
    <xf numFmtId="0" fontId="1" fillId="0" borderId="2" xfId="0" applyFont="1" applyBorder="1"/>
    <xf numFmtId="180" fontId="1" fillId="0" borderId="5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176" fontId="1" fillId="0" borderId="5" xfId="1" applyNumberFormat="1" applyFont="1" applyFill="1" applyBorder="1"/>
    <xf numFmtId="177" fontId="1" fillId="0" borderId="11" xfId="0" applyNumberFormat="1" applyFont="1" applyBorder="1"/>
    <xf numFmtId="49" fontId="1" fillId="0" borderId="19" xfId="0" applyNumberFormat="1" applyFont="1" applyBorder="1" applyAlignment="1">
      <alignment horizontal="center"/>
    </xf>
    <xf numFmtId="0" fontId="1" fillId="0" borderId="3" xfId="0" applyFont="1" applyBorder="1"/>
    <xf numFmtId="180" fontId="1" fillId="0" borderId="6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176" fontId="1" fillId="0" borderId="6" xfId="1" applyNumberFormat="1" applyFont="1" applyFill="1" applyBorder="1"/>
    <xf numFmtId="177" fontId="1" fillId="0" borderId="12" xfId="0" applyNumberFormat="1" applyFont="1" applyBorder="1"/>
    <xf numFmtId="0" fontId="1" fillId="0" borderId="13" xfId="0" applyFont="1" applyBorder="1"/>
    <xf numFmtId="180" fontId="1" fillId="0" borderId="7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center"/>
    </xf>
    <xf numFmtId="176" fontId="1" fillId="0" borderId="7" xfId="1" applyNumberFormat="1" applyFont="1" applyFill="1" applyBorder="1"/>
    <xf numFmtId="177" fontId="1" fillId="0" borderId="14" xfId="0" applyNumberFormat="1" applyFont="1" applyBorder="1"/>
    <xf numFmtId="0" fontId="1" fillId="0" borderId="23" xfId="0" applyFont="1" applyBorder="1"/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176" fontId="1" fillId="0" borderId="16" xfId="1" applyNumberFormat="1" applyFont="1" applyFill="1" applyBorder="1"/>
    <xf numFmtId="177" fontId="1" fillId="0" borderId="17" xfId="0" applyNumberFormat="1" applyFont="1" applyBorder="1"/>
    <xf numFmtId="0" fontId="1" fillId="0" borderId="6" xfId="0" applyFont="1" applyBorder="1" applyAlignment="1">
      <alignment horizontal="left"/>
    </xf>
    <xf numFmtId="0" fontId="1" fillId="0" borderId="15" xfId="0" applyFont="1" applyBorder="1"/>
    <xf numFmtId="0" fontId="1" fillId="0" borderId="7" xfId="0" applyFont="1" applyBorder="1"/>
    <xf numFmtId="0" fontId="1" fillId="0" borderId="5" xfId="0" applyFont="1" applyBorder="1"/>
    <xf numFmtId="0" fontId="1" fillId="0" borderId="6" xfId="0" applyFont="1" applyBorder="1"/>
    <xf numFmtId="176" fontId="1" fillId="0" borderId="7" xfId="0" applyNumberFormat="1" applyFont="1" applyBorder="1"/>
    <xf numFmtId="176" fontId="1" fillId="0" borderId="5" xfId="0" applyNumberFormat="1" applyFont="1" applyBorder="1"/>
    <xf numFmtId="176" fontId="1" fillId="0" borderId="6" xfId="0" applyNumberFormat="1" applyFont="1" applyBorder="1"/>
    <xf numFmtId="49" fontId="1" fillId="0" borderId="22" xfId="0" applyNumberFormat="1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/>
    <xf numFmtId="176" fontId="1" fillId="0" borderId="1" xfId="0" applyNumberFormat="1" applyFont="1" applyBorder="1"/>
    <xf numFmtId="0" fontId="1" fillId="0" borderId="9" xfId="0" applyFont="1" applyBorder="1"/>
    <xf numFmtId="0" fontId="1" fillId="0" borderId="16" xfId="0" applyFont="1" applyBorder="1"/>
    <xf numFmtId="176" fontId="1" fillId="0" borderId="16" xfId="0" applyNumberFormat="1" applyFont="1" applyBorder="1"/>
    <xf numFmtId="0" fontId="1" fillId="0" borderId="17" xfId="0" applyFont="1" applyBorder="1"/>
    <xf numFmtId="0" fontId="1" fillId="0" borderId="12" xfId="0" applyFont="1" applyBorder="1"/>
    <xf numFmtId="0" fontId="1" fillId="0" borderId="14" xfId="0" applyFont="1" applyBorder="1"/>
    <xf numFmtId="0" fontId="1" fillId="0" borderId="11" xfId="0" applyFont="1" applyBorder="1"/>
    <xf numFmtId="0" fontId="1" fillId="0" borderId="5" xfId="0" applyFont="1" applyBorder="1" applyAlignment="1">
      <alignment wrapText="1"/>
    </xf>
    <xf numFmtId="0" fontId="1" fillId="0" borderId="2" xfId="0" quotePrefix="1" applyFont="1" applyBorder="1"/>
    <xf numFmtId="0" fontId="1" fillId="0" borderId="3" xfId="0" quotePrefix="1" applyFont="1" applyBorder="1"/>
    <xf numFmtId="177" fontId="1" fillId="0" borderId="9" xfId="0" applyNumberFormat="1" applyFont="1" applyBorder="1"/>
    <xf numFmtId="49" fontId="1" fillId="0" borderId="4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176" fontId="1" fillId="0" borderId="19" xfId="0" applyNumberFormat="1" applyFont="1" applyBorder="1"/>
    <xf numFmtId="0" fontId="1" fillId="0" borderId="20" xfId="0" applyFont="1" applyBorder="1"/>
    <xf numFmtId="49" fontId="1" fillId="0" borderId="6" xfId="0" applyNumberFormat="1" applyFont="1" applyBorder="1" applyAlignment="1">
      <alignment horizontal="center"/>
    </xf>
    <xf numFmtId="0" fontId="8" fillId="33" borderId="0" xfId="0" applyFont="1" applyFill="1"/>
    <xf numFmtId="180" fontId="17" fillId="33" borderId="0" xfId="1" applyNumberFormat="1" applyFont="1" applyFill="1" applyBorder="1" applyAlignment="1">
      <alignment vertical="center"/>
    </xf>
    <xf numFmtId="49" fontId="20" fillId="33" borderId="0" xfId="0" applyNumberFormat="1" applyFont="1" applyFill="1" applyAlignment="1">
      <alignment horizontal="left"/>
    </xf>
    <xf numFmtId="180" fontId="17" fillId="33" borderId="0" xfId="4" applyNumberFormat="1" applyFont="1" applyFill="1">
      <alignment vertical="center"/>
    </xf>
    <xf numFmtId="180" fontId="8" fillId="33" borderId="0" xfId="0" applyNumberFormat="1" applyFont="1" applyFill="1"/>
    <xf numFmtId="49" fontId="20" fillId="33" borderId="0" xfId="0" applyNumberFormat="1" applyFont="1" applyFill="1"/>
    <xf numFmtId="49" fontId="8" fillId="33" borderId="0" xfId="0" applyNumberFormat="1" applyFont="1" applyFill="1"/>
    <xf numFmtId="38" fontId="17" fillId="33" borderId="0" xfId="1" applyFont="1" applyFill="1" applyBorder="1" applyAlignment="1">
      <alignment vertical="center"/>
    </xf>
    <xf numFmtId="178" fontId="16" fillId="33" borderId="0" xfId="4" applyNumberFormat="1" applyFont="1" applyFill="1">
      <alignment vertical="center"/>
    </xf>
    <xf numFmtId="0" fontId="8" fillId="33" borderId="0" xfId="0" applyFont="1" applyFill="1" applyAlignment="1">
      <alignment horizontal="left"/>
    </xf>
    <xf numFmtId="0" fontId="8" fillId="33" borderId="0" xfId="0" quotePrefix="1" applyFont="1" applyFill="1"/>
    <xf numFmtId="180" fontId="8" fillId="33" borderId="0" xfId="1" applyNumberFormat="1" applyFont="1" applyFill="1"/>
    <xf numFmtId="180" fontId="8" fillId="33" borderId="0" xfId="0" applyNumberFormat="1" applyFont="1" applyFill="1" applyAlignment="1">
      <alignment horizontal="left"/>
    </xf>
    <xf numFmtId="180" fontId="16" fillId="33" borderId="0" xfId="1" applyNumberFormat="1" applyFont="1" applyFill="1" applyBorder="1" applyAlignment="1">
      <alignment vertical="center"/>
    </xf>
    <xf numFmtId="38" fontId="8" fillId="33" borderId="0" xfId="1" applyFont="1" applyFill="1"/>
    <xf numFmtId="180" fontId="17" fillId="33" borderId="0" xfId="1" applyNumberFormat="1" applyFont="1" applyFill="1" applyAlignment="1">
      <alignment vertical="center"/>
    </xf>
    <xf numFmtId="49" fontId="8" fillId="17" borderId="0" xfId="0" quotePrefix="1" applyNumberFormat="1" applyFont="1" applyFill="1"/>
    <xf numFmtId="180" fontId="16" fillId="33" borderId="0" xfId="1" applyNumberFormat="1" applyFont="1" applyFill="1" applyAlignment="1">
      <alignment vertical="center"/>
    </xf>
    <xf numFmtId="178" fontId="8" fillId="33" borderId="0" xfId="0" applyNumberFormat="1" applyFont="1" applyFill="1"/>
    <xf numFmtId="180" fontId="17" fillId="33" borderId="0" xfId="7" applyNumberFormat="1" applyFont="1" applyFill="1" applyBorder="1" applyAlignment="1">
      <alignment vertical="center"/>
    </xf>
    <xf numFmtId="179" fontId="8" fillId="33" borderId="0" xfId="0" applyNumberFormat="1" applyFont="1" applyFill="1"/>
    <xf numFmtId="0" fontId="15" fillId="33" borderId="0" xfId="0" applyFont="1" applyFill="1"/>
    <xf numFmtId="177" fontId="8" fillId="33" borderId="0" xfId="0" applyNumberFormat="1" applyFont="1" applyFill="1"/>
    <xf numFmtId="180" fontId="20" fillId="33" borderId="0" xfId="0" applyNumberFormat="1" applyFont="1" applyFill="1"/>
    <xf numFmtId="180" fontId="8" fillId="33" borderId="0" xfId="0" applyNumberFormat="1" applyFont="1" applyFill="1" applyAlignment="1">
      <alignment horizontal="right"/>
    </xf>
    <xf numFmtId="0" fontId="8" fillId="33" borderId="0" xfId="0" applyFont="1" applyFill="1" applyAlignment="1">
      <alignment horizontal="left" vertical="center"/>
    </xf>
    <xf numFmtId="3" fontId="24" fillId="33" borderId="0" xfId="0" applyNumberFormat="1" applyFont="1" applyFill="1" applyAlignment="1">
      <alignment vertical="center"/>
    </xf>
    <xf numFmtId="3" fontId="8" fillId="34" borderId="0" xfId="0" applyNumberFormat="1" applyFont="1" applyFill="1" applyAlignment="1">
      <alignment horizontal="center"/>
    </xf>
    <xf numFmtId="182" fontId="8" fillId="0" borderId="0" xfId="0" applyNumberFormat="1" applyFont="1"/>
  </cellXfs>
  <cellStyles count="19">
    <cellStyle name="パーセント" xfId="8" builtinId="5"/>
    <cellStyle name="桁区切り" xfId="1" builtinId="6"/>
    <cellStyle name="桁区切り 2" xfId="2" xr:uid="{00000000-0005-0000-0000-000002000000}"/>
    <cellStyle name="桁区切り 2 2" xfId="7" xr:uid="{00000000-0005-0000-0000-000003000000}"/>
    <cellStyle name="桁区切り 2 3" xfId="15" xr:uid="{2B87A98D-9CF3-46C9-9138-EBA8E2BD9423}"/>
    <cellStyle name="桁区切り 2 4" xfId="13" xr:uid="{FC315105-5590-4207-8A83-FF484F862C64}"/>
    <cellStyle name="桁区切り 3" xfId="6" xr:uid="{00000000-0005-0000-0000-000004000000}"/>
    <cellStyle name="桁区切り 3 2" xfId="17" xr:uid="{C80F0536-58DE-4E33-AD52-2876D121C690}"/>
    <cellStyle name="桁区切り 4" xfId="11" xr:uid="{D05E4AFC-A491-4A0D-B8A6-48B9E69D002B}"/>
    <cellStyle name="標準" xfId="0" builtinId="0"/>
    <cellStyle name="標準 2" xfId="3" xr:uid="{00000000-0005-0000-0000-000006000000}"/>
    <cellStyle name="標準 2 2" xfId="16" xr:uid="{AC908485-50E7-4A55-894E-1C06144292D4}"/>
    <cellStyle name="標準 2 3" xfId="12" xr:uid="{4B4B6689-D11E-44B8-9955-5D4AA028917E}"/>
    <cellStyle name="標準 3" xfId="4" xr:uid="{00000000-0005-0000-0000-000007000000}"/>
    <cellStyle name="標準 3 2" xfId="14" xr:uid="{967F96FC-C9F8-4A4B-A801-5299D238BCE4}"/>
    <cellStyle name="標準 4" xfId="5" xr:uid="{00000000-0005-0000-0000-000008000000}"/>
    <cellStyle name="標準 4 2" xfId="18" xr:uid="{5157E2D5-3396-4301-81DE-ACEFE156625E}"/>
    <cellStyle name="標準 5" xfId="10" xr:uid="{57D66CF2-8E06-429D-B3F3-ED6115272085}"/>
    <cellStyle name="標準_標準項 2" xfId="9" xr:uid="{00000000-0005-0000-0000-000009000000}"/>
  </cellStyles>
  <dxfs count="0"/>
  <tableStyles count="0" defaultTableStyle="TableStyleMedium9" defaultPivotStyle="PivotStyleLight16"/>
  <colors>
    <mruColors>
      <color rgb="FFCCFF99"/>
      <color rgb="FF33CCCC"/>
      <color rgb="FF00FFFF"/>
      <color rgb="FFE062D1"/>
      <color rgb="FFE2EFDA"/>
      <color rgb="FFE2EFDE"/>
      <color rgb="FFFFCCCC"/>
      <color rgb="FFFF9933"/>
      <color rgb="FFF68222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D6:I39"/>
  <sheetViews>
    <sheetView tabSelected="1" workbookViewId="0"/>
  </sheetViews>
  <sheetFormatPr defaultColWidth="9" defaultRowHeight="13.5"/>
  <cols>
    <col min="1" max="6" width="9" style="5"/>
    <col min="7" max="7" width="10.42578125" style="5" bestFit="1" customWidth="1"/>
    <col min="8" max="8" width="10.140625" style="5" customWidth="1"/>
    <col min="9" max="16384" width="9" style="5"/>
  </cols>
  <sheetData>
    <row r="6" spans="4:9" ht="42">
      <c r="D6" s="4" t="s">
        <v>0</v>
      </c>
    </row>
    <row r="8" spans="4:9" ht="24">
      <c r="D8" s="6" t="s">
        <v>1</v>
      </c>
      <c r="F8" s="7" t="s">
        <v>2</v>
      </c>
    </row>
    <row r="11" spans="4:9">
      <c r="F11" s="5" t="s">
        <v>3</v>
      </c>
    </row>
    <row r="12" spans="4:9">
      <c r="G12" s="11" t="s">
        <v>4</v>
      </c>
      <c r="I12" s="8"/>
    </row>
    <row r="13" spans="4:9">
      <c r="G13" s="11" t="s">
        <v>5</v>
      </c>
      <c r="I13" s="8"/>
    </row>
    <row r="14" spans="4:9">
      <c r="G14" s="11" t="s">
        <v>6</v>
      </c>
      <c r="H14" s="8" t="s">
        <v>7</v>
      </c>
    </row>
    <row r="15" spans="4:9">
      <c r="G15" s="11" t="s">
        <v>8</v>
      </c>
      <c r="H15" s="8" t="s">
        <v>9</v>
      </c>
    </row>
    <row r="16" spans="4:9">
      <c r="G16" s="11" t="s">
        <v>10</v>
      </c>
      <c r="H16" s="8" t="s">
        <v>11</v>
      </c>
    </row>
    <row r="17" spans="6:8">
      <c r="G17" s="11" t="s">
        <v>12</v>
      </c>
      <c r="H17" s="22" t="s">
        <v>13</v>
      </c>
    </row>
    <row r="18" spans="6:8">
      <c r="G18" s="11" t="s">
        <v>14</v>
      </c>
      <c r="H18" s="8" t="s">
        <v>11</v>
      </c>
    </row>
    <row r="19" spans="6:8">
      <c r="G19" s="11" t="s">
        <v>15</v>
      </c>
      <c r="H19" s="8" t="s">
        <v>11</v>
      </c>
    </row>
    <row r="20" spans="6:8">
      <c r="G20" s="11" t="s">
        <v>16</v>
      </c>
      <c r="H20" s="8" t="s">
        <v>11</v>
      </c>
    </row>
    <row r="21" spans="6:8">
      <c r="G21" s="11" t="s">
        <v>17</v>
      </c>
      <c r="H21" s="8" t="s">
        <v>18</v>
      </c>
    </row>
    <row r="22" spans="6:8">
      <c r="G22" s="11" t="s">
        <v>19</v>
      </c>
      <c r="H22" s="8" t="s">
        <v>20</v>
      </c>
    </row>
    <row r="23" spans="6:8">
      <c r="G23" s="11" t="s">
        <v>21</v>
      </c>
      <c r="H23" s="8" t="s">
        <v>22</v>
      </c>
    </row>
    <row r="24" spans="6:8">
      <c r="G24" s="11" t="s">
        <v>23</v>
      </c>
      <c r="H24" s="22" t="s">
        <v>24</v>
      </c>
    </row>
    <row r="25" spans="6:8">
      <c r="G25" s="11" t="s">
        <v>25</v>
      </c>
      <c r="H25" s="22" t="s">
        <v>26</v>
      </c>
    </row>
    <row r="26" spans="6:8">
      <c r="G26" s="11" t="s">
        <v>27</v>
      </c>
      <c r="H26" s="22" t="s">
        <v>28</v>
      </c>
    </row>
    <row r="27" spans="6:8">
      <c r="G27" s="11" t="s">
        <v>29</v>
      </c>
      <c r="H27" s="22" t="s">
        <v>30</v>
      </c>
    </row>
    <row r="28" spans="6:8">
      <c r="G28" s="176"/>
      <c r="H28" s="22"/>
    </row>
    <row r="29" spans="6:8">
      <c r="F29" s="5" t="s">
        <v>31</v>
      </c>
      <c r="G29" s="176"/>
    </row>
    <row r="30" spans="6:8">
      <c r="G30" s="11" t="s">
        <v>12</v>
      </c>
    </row>
    <row r="31" spans="6:8">
      <c r="G31" s="11" t="s">
        <v>17</v>
      </c>
    </row>
    <row r="32" spans="6:8">
      <c r="G32" s="11" t="s">
        <v>32</v>
      </c>
    </row>
    <row r="34" spans="6:7">
      <c r="F34" s="5" t="s">
        <v>33</v>
      </c>
    </row>
    <row r="35" spans="6:7">
      <c r="G35" s="11" t="s">
        <v>34</v>
      </c>
    </row>
    <row r="37" spans="6:7">
      <c r="F37" s="5" t="s">
        <v>35</v>
      </c>
    </row>
    <row r="38" spans="6:7">
      <c r="G38" s="11" t="s">
        <v>36</v>
      </c>
    </row>
    <row r="39" spans="6:7">
      <c r="G39" s="11" t="s">
        <v>37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L133"/>
  <sheetViews>
    <sheetView topLeftCell="E19" zoomScaleNormal="100" workbookViewId="0">
      <selection activeCell="E19" sqref="E19"/>
    </sheetView>
  </sheetViews>
  <sheetFormatPr defaultColWidth="9" defaultRowHeight="11.25"/>
  <cols>
    <col min="1" max="1" width="9" style="27"/>
    <col min="2" max="7" width="9" style="25"/>
    <col min="8" max="8" width="23.85546875" style="25" bestFit="1" customWidth="1"/>
    <col min="9" max="16384" width="9" style="25"/>
  </cols>
  <sheetData>
    <row r="1" spans="1:12">
      <c r="A1" s="27" t="s">
        <v>38</v>
      </c>
      <c r="E1" s="27" t="s">
        <v>39</v>
      </c>
      <c r="F1" s="27" t="s">
        <v>40</v>
      </c>
    </row>
    <row r="2" spans="1:12">
      <c r="B2" s="25" t="s">
        <v>41</v>
      </c>
      <c r="E2" s="27" t="s">
        <v>42</v>
      </c>
      <c r="F2" s="27" t="s">
        <v>43</v>
      </c>
      <c r="G2" s="27" t="s">
        <v>44</v>
      </c>
      <c r="H2" s="27" t="s">
        <v>45</v>
      </c>
      <c r="I2" s="27"/>
      <c r="J2" s="27" t="s">
        <v>46</v>
      </c>
    </row>
    <row r="3" spans="1:12">
      <c r="A3" s="27" t="s">
        <v>47</v>
      </c>
      <c r="B3" s="52" t="s">
        <v>48</v>
      </c>
      <c r="C3" s="52"/>
      <c r="D3" s="52"/>
      <c r="E3" s="229">
        <v>47500</v>
      </c>
      <c r="F3" s="229">
        <v>29400</v>
      </c>
      <c r="G3" s="53" t="s">
        <v>49</v>
      </c>
      <c r="H3" s="52" t="s">
        <v>50</v>
      </c>
      <c r="I3" s="52"/>
      <c r="J3" s="44" t="s">
        <v>51</v>
      </c>
      <c r="K3" s="44"/>
      <c r="L3" s="44"/>
    </row>
    <row r="4" spans="1:12">
      <c r="B4" s="25" t="s">
        <v>52</v>
      </c>
      <c r="G4" s="27" t="s">
        <v>53</v>
      </c>
      <c r="H4" s="25" t="s">
        <v>54</v>
      </c>
      <c r="J4" s="25" t="s">
        <v>55</v>
      </c>
    </row>
    <row r="5" spans="1:12">
      <c r="B5" s="25" t="s">
        <v>56</v>
      </c>
      <c r="G5" s="27" t="s">
        <v>57</v>
      </c>
      <c r="H5" s="25" t="s">
        <v>58</v>
      </c>
      <c r="J5" s="25" t="s">
        <v>59</v>
      </c>
    </row>
    <row r="6" spans="1:12">
      <c r="B6" s="25" t="s">
        <v>60</v>
      </c>
      <c r="G6" s="27" t="s">
        <v>61</v>
      </c>
      <c r="H6" s="25" t="s">
        <v>62</v>
      </c>
      <c r="J6" s="25" t="s">
        <v>63</v>
      </c>
    </row>
    <row r="7" spans="1:12">
      <c r="B7" s="25" t="s">
        <v>64</v>
      </c>
      <c r="G7" s="27" t="s">
        <v>65</v>
      </c>
      <c r="H7" s="25" t="s">
        <v>66</v>
      </c>
      <c r="J7" s="25" t="s">
        <v>67</v>
      </c>
    </row>
    <row r="8" spans="1:12">
      <c r="B8" s="25" t="s">
        <v>68</v>
      </c>
      <c r="G8" s="27" t="s">
        <v>69</v>
      </c>
      <c r="H8" s="25" t="s">
        <v>70</v>
      </c>
      <c r="J8" s="25" t="s">
        <v>71</v>
      </c>
    </row>
    <row r="9" spans="1:12">
      <c r="B9" s="25" t="s">
        <v>72</v>
      </c>
      <c r="G9" s="27" t="s">
        <v>73</v>
      </c>
      <c r="H9" s="25" t="s">
        <v>74</v>
      </c>
      <c r="J9" s="25" t="s">
        <v>75</v>
      </c>
    </row>
    <row r="10" spans="1:12">
      <c r="B10" s="25" t="s">
        <v>76</v>
      </c>
      <c r="G10" s="27" t="s">
        <v>77</v>
      </c>
      <c r="H10" s="25" t="s">
        <v>78</v>
      </c>
      <c r="J10" s="25" t="s">
        <v>79</v>
      </c>
    </row>
    <row r="11" spans="1:12">
      <c r="B11" s="23" t="s">
        <v>80</v>
      </c>
      <c r="G11" s="27" t="s">
        <v>81</v>
      </c>
      <c r="H11" s="25" t="s">
        <v>82</v>
      </c>
      <c r="J11" s="25" t="s">
        <v>83</v>
      </c>
    </row>
    <row r="12" spans="1:12">
      <c r="B12" s="25" t="s">
        <v>84</v>
      </c>
      <c r="G12" s="27" t="s">
        <v>85</v>
      </c>
      <c r="H12" s="25" t="s">
        <v>86</v>
      </c>
      <c r="J12" s="25" t="s">
        <v>87</v>
      </c>
    </row>
    <row r="13" spans="1:12">
      <c r="B13" s="25" t="s">
        <v>88</v>
      </c>
      <c r="G13" s="27" t="s">
        <v>89</v>
      </c>
      <c r="H13" s="25" t="s">
        <v>90</v>
      </c>
      <c r="J13" s="25" t="s">
        <v>91</v>
      </c>
    </row>
    <row r="14" spans="1:12">
      <c r="B14" s="25" t="s">
        <v>92</v>
      </c>
      <c r="G14" s="27" t="s">
        <v>93</v>
      </c>
      <c r="H14" s="25" t="s">
        <v>94</v>
      </c>
      <c r="J14" s="25" t="s">
        <v>95</v>
      </c>
    </row>
    <row r="15" spans="1:12">
      <c r="B15" s="25" t="s">
        <v>96</v>
      </c>
      <c r="G15" s="27" t="s">
        <v>97</v>
      </c>
      <c r="H15" s="25" t="s">
        <v>98</v>
      </c>
      <c r="J15" s="25" t="s">
        <v>99</v>
      </c>
    </row>
    <row r="16" spans="1:12">
      <c r="B16" s="25" t="s">
        <v>100</v>
      </c>
      <c r="G16" s="27" t="s">
        <v>101</v>
      </c>
      <c r="H16" s="25" t="s">
        <v>102</v>
      </c>
      <c r="J16" s="23" t="s">
        <v>80</v>
      </c>
    </row>
    <row r="17" spans="2:10">
      <c r="B17" s="25" t="s">
        <v>103</v>
      </c>
      <c r="G17" s="27" t="s">
        <v>104</v>
      </c>
      <c r="H17" s="25" t="s">
        <v>105</v>
      </c>
      <c r="J17" s="25" t="s">
        <v>106</v>
      </c>
    </row>
    <row r="18" spans="2:10">
      <c r="B18" s="25" t="s">
        <v>107</v>
      </c>
      <c r="G18" s="27" t="s">
        <v>108</v>
      </c>
      <c r="H18" s="25" t="s">
        <v>109</v>
      </c>
      <c r="J18" s="25" t="s">
        <v>110</v>
      </c>
    </row>
    <row r="19" spans="2:10">
      <c r="B19" s="25" t="s">
        <v>111</v>
      </c>
      <c r="G19" s="27" t="s">
        <v>112</v>
      </c>
      <c r="H19" s="25" t="s">
        <v>113</v>
      </c>
      <c r="J19" s="25" t="s">
        <v>114</v>
      </c>
    </row>
    <row r="20" spans="2:10">
      <c r="B20" s="25" t="s">
        <v>115</v>
      </c>
      <c r="G20" s="27" t="s">
        <v>116</v>
      </c>
      <c r="H20" s="25" t="s">
        <v>117</v>
      </c>
      <c r="J20" s="25" t="s">
        <v>118</v>
      </c>
    </row>
    <row r="21" spans="2:10">
      <c r="B21" s="25" t="s">
        <v>119</v>
      </c>
      <c r="J21" s="25" t="s">
        <v>120</v>
      </c>
    </row>
    <row r="22" spans="2:10">
      <c r="B22" s="25" t="s">
        <v>121</v>
      </c>
      <c r="J22" s="25" t="s">
        <v>122</v>
      </c>
    </row>
    <row r="23" spans="2:10">
      <c r="B23" s="25" t="s">
        <v>123</v>
      </c>
      <c r="J23" s="25" t="s">
        <v>124</v>
      </c>
    </row>
    <row r="24" spans="2:10">
      <c r="B24" s="25" t="s">
        <v>125</v>
      </c>
      <c r="J24" s="25" t="s">
        <v>126</v>
      </c>
    </row>
    <row r="25" spans="2:10">
      <c r="B25" s="23" t="s">
        <v>80</v>
      </c>
      <c r="F25" s="27" t="s">
        <v>127</v>
      </c>
      <c r="G25" s="27" t="s">
        <v>97</v>
      </c>
      <c r="J25" s="23" t="s">
        <v>80</v>
      </c>
    </row>
    <row r="26" spans="2:10">
      <c r="B26" s="25" t="s">
        <v>128</v>
      </c>
      <c r="G26" s="27" t="s">
        <v>129</v>
      </c>
      <c r="J26" s="25" t="s">
        <v>130</v>
      </c>
    </row>
    <row r="27" spans="2:10">
      <c r="B27" s="25" t="s">
        <v>131</v>
      </c>
      <c r="G27" s="27" t="s">
        <v>132</v>
      </c>
      <c r="J27" s="25" t="s">
        <v>133</v>
      </c>
    </row>
    <row r="28" spans="2:10">
      <c r="B28" s="25" t="s">
        <v>134</v>
      </c>
      <c r="J28" s="25" t="s">
        <v>135</v>
      </c>
    </row>
    <row r="29" spans="2:10">
      <c r="B29" s="25" t="s">
        <v>136</v>
      </c>
      <c r="J29" s="25" t="s">
        <v>137</v>
      </c>
    </row>
    <row r="30" spans="2:10">
      <c r="B30" s="25" t="s">
        <v>138</v>
      </c>
      <c r="J30" s="25" t="s">
        <v>139</v>
      </c>
    </row>
    <row r="31" spans="2:10">
      <c r="B31" s="23" t="s">
        <v>80</v>
      </c>
      <c r="J31" s="25" t="s">
        <v>140</v>
      </c>
    </row>
    <row r="32" spans="2:10">
      <c r="B32" s="25" t="s">
        <v>141</v>
      </c>
      <c r="J32" s="25" t="s">
        <v>142</v>
      </c>
    </row>
    <row r="33" spans="2:10">
      <c r="B33" s="25" t="s">
        <v>143</v>
      </c>
      <c r="J33" s="25" t="s">
        <v>144</v>
      </c>
    </row>
    <row r="34" spans="2:10">
      <c r="B34" s="25" t="s">
        <v>145</v>
      </c>
    </row>
    <row r="35" spans="2:10">
      <c r="B35" s="25" t="s">
        <v>146</v>
      </c>
    </row>
    <row r="36" spans="2:10">
      <c r="B36" s="23" t="s">
        <v>80</v>
      </c>
    </row>
    <row r="37" spans="2:10">
      <c r="B37" s="25" t="s">
        <v>147</v>
      </c>
    </row>
    <row r="38" spans="2:10">
      <c r="B38" s="25" t="s">
        <v>148</v>
      </c>
    </row>
    <row r="39" spans="2:10">
      <c r="B39" s="25" t="s">
        <v>149</v>
      </c>
    </row>
    <row r="40" spans="2:10">
      <c r="B40" s="25" t="s">
        <v>150</v>
      </c>
      <c r="G40" s="27" t="s">
        <v>151</v>
      </c>
      <c r="H40" s="52" t="s">
        <v>152</v>
      </c>
      <c r="I40" s="52"/>
    </row>
    <row r="41" spans="2:10">
      <c r="B41" s="25" t="s">
        <v>153</v>
      </c>
      <c r="H41" s="25" t="s">
        <v>154</v>
      </c>
      <c r="J41" s="63"/>
    </row>
    <row r="42" spans="2:10">
      <c r="B42" s="25" t="s">
        <v>155</v>
      </c>
      <c r="H42" s="25" t="s">
        <v>156</v>
      </c>
    </row>
    <row r="43" spans="2:10">
      <c r="B43" s="23" t="s">
        <v>80</v>
      </c>
      <c r="H43" s="25" t="s">
        <v>157</v>
      </c>
    </row>
    <row r="44" spans="2:10">
      <c r="H44" s="25" t="s">
        <v>158</v>
      </c>
    </row>
    <row r="45" spans="2:10">
      <c r="H45" s="25" t="s">
        <v>159</v>
      </c>
    </row>
    <row r="46" spans="2:10">
      <c r="H46" s="25" t="s">
        <v>160</v>
      </c>
    </row>
    <row r="47" spans="2:10">
      <c r="H47" s="25" t="s">
        <v>161</v>
      </c>
    </row>
    <row r="50" spans="7:10">
      <c r="G50" s="27" t="s">
        <v>162</v>
      </c>
      <c r="H50" s="52" t="s">
        <v>163</v>
      </c>
      <c r="I50" s="52"/>
    </row>
    <row r="51" spans="7:10">
      <c r="H51" s="25" t="s">
        <v>164</v>
      </c>
      <c r="J51" s="63"/>
    </row>
    <row r="52" spans="7:10">
      <c r="H52" s="25" t="s">
        <v>165</v>
      </c>
    </row>
    <row r="53" spans="7:10">
      <c r="H53" s="25" t="s">
        <v>166</v>
      </c>
    </row>
    <row r="60" spans="7:10">
      <c r="G60" s="27" t="s">
        <v>167</v>
      </c>
      <c r="H60" s="52" t="s">
        <v>164</v>
      </c>
      <c r="I60" s="52"/>
    </row>
    <row r="61" spans="7:10">
      <c r="H61" s="25" t="s">
        <v>168</v>
      </c>
      <c r="J61" s="63"/>
    </row>
    <row r="62" spans="7:10">
      <c r="H62" s="25" t="s">
        <v>169</v>
      </c>
    </row>
    <row r="63" spans="7:10">
      <c r="H63" s="25" t="s">
        <v>170</v>
      </c>
    </row>
    <row r="64" spans="7:10">
      <c r="H64" s="25" t="s">
        <v>171</v>
      </c>
    </row>
    <row r="65" spans="1:8">
      <c r="H65" s="25" t="s">
        <v>172</v>
      </c>
    </row>
    <row r="80" spans="1:8">
      <c r="A80" s="27" t="s">
        <v>173</v>
      </c>
      <c r="B80" s="183" t="s">
        <v>174</v>
      </c>
    </row>
    <row r="81" spans="2:2">
      <c r="B81" s="25" t="s">
        <v>175</v>
      </c>
    </row>
    <row r="82" spans="2:2">
      <c r="B82" s="25" t="s">
        <v>176</v>
      </c>
    </row>
    <row r="83" spans="2:2">
      <c r="B83" s="25" t="s">
        <v>177</v>
      </c>
    </row>
    <row r="84" spans="2:2">
      <c r="B84" s="25" t="s">
        <v>178</v>
      </c>
    </row>
    <row r="85" spans="2:2">
      <c r="B85" s="25" t="s">
        <v>179</v>
      </c>
    </row>
    <row r="86" spans="2:2">
      <c r="B86" s="25" t="s">
        <v>180</v>
      </c>
    </row>
    <row r="87" spans="2:2">
      <c r="B87" s="25" t="s">
        <v>181</v>
      </c>
    </row>
    <row r="88" spans="2:2">
      <c r="B88" s="25" t="s">
        <v>182</v>
      </c>
    </row>
    <row r="89" spans="2:2">
      <c r="B89" s="25" t="s">
        <v>183</v>
      </c>
    </row>
    <row r="90" spans="2:2">
      <c r="B90" s="25" t="s">
        <v>184</v>
      </c>
    </row>
    <row r="91" spans="2:2">
      <c r="B91" s="25" t="s">
        <v>185</v>
      </c>
    </row>
    <row r="92" spans="2:2">
      <c r="B92" s="25" t="s">
        <v>186</v>
      </c>
    </row>
    <row r="93" spans="2:2">
      <c r="B93" s="23" t="s">
        <v>187</v>
      </c>
    </row>
    <row r="94" spans="2:2">
      <c r="B94" s="25" t="s">
        <v>188</v>
      </c>
    </row>
    <row r="95" spans="2:2">
      <c r="B95" s="25" t="s">
        <v>189</v>
      </c>
    </row>
    <row r="96" spans="2:2">
      <c r="B96" s="25" t="s">
        <v>190</v>
      </c>
    </row>
    <row r="97" spans="2:2">
      <c r="B97" s="25" t="s">
        <v>191</v>
      </c>
    </row>
    <row r="98" spans="2:2">
      <c r="B98" s="25" t="s">
        <v>192</v>
      </c>
    </row>
    <row r="99" spans="2:2">
      <c r="B99" s="23" t="s">
        <v>193</v>
      </c>
    </row>
    <row r="100" spans="2:2">
      <c r="B100" s="25" t="s">
        <v>194</v>
      </c>
    </row>
    <row r="101" spans="2:2">
      <c r="B101" s="25" t="s">
        <v>195</v>
      </c>
    </row>
    <row r="102" spans="2:2">
      <c r="B102" s="25" t="s">
        <v>196</v>
      </c>
    </row>
    <row r="103" spans="2:2">
      <c r="B103" s="25" t="s">
        <v>197</v>
      </c>
    </row>
    <row r="104" spans="2:2">
      <c r="B104" s="25" t="s">
        <v>198</v>
      </c>
    </row>
    <row r="105" spans="2:2">
      <c r="B105" s="25" t="s">
        <v>199</v>
      </c>
    </row>
    <row r="106" spans="2:2">
      <c r="B106" s="25" t="s">
        <v>200</v>
      </c>
    </row>
    <row r="107" spans="2:2">
      <c r="B107" s="25" t="s">
        <v>201</v>
      </c>
    </row>
    <row r="108" spans="2:2">
      <c r="B108" s="25" t="s">
        <v>202</v>
      </c>
    </row>
    <row r="109" spans="2:2">
      <c r="B109" s="25" t="s">
        <v>203</v>
      </c>
    </row>
    <row r="110" spans="2:2">
      <c r="B110" s="23" t="s">
        <v>193</v>
      </c>
    </row>
    <row r="111" spans="2:2">
      <c r="B111" s="25" t="s">
        <v>204</v>
      </c>
    </row>
    <row r="112" spans="2:2">
      <c r="B112" s="25" t="s">
        <v>205</v>
      </c>
    </row>
    <row r="113" spans="2:2">
      <c r="B113" s="25" t="s">
        <v>206</v>
      </c>
    </row>
    <row r="114" spans="2:2">
      <c r="B114" s="25" t="s">
        <v>207</v>
      </c>
    </row>
    <row r="115" spans="2:2">
      <c r="B115" s="25" t="s">
        <v>208</v>
      </c>
    </row>
    <row r="116" spans="2:2">
      <c r="B116" s="25" t="s">
        <v>209</v>
      </c>
    </row>
    <row r="117" spans="2:2">
      <c r="B117" s="25" t="s">
        <v>210</v>
      </c>
    </row>
    <row r="118" spans="2:2">
      <c r="B118" s="25" t="s">
        <v>211</v>
      </c>
    </row>
    <row r="119" spans="2:2">
      <c r="B119" s="25" t="s">
        <v>212</v>
      </c>
    </row>
    <row r="120" spans="2:2">
      <c r="B120" s="25" t="s">
        <v>213</v>
      </c>
    </row>
    <row r="121" spans="2:2">
      <c r="B121" s="23" t="s">
        <v>193</v>
      </c>
    </row>
    <row r="122" spans="2:2">
      <c r="B122" s="25" t="s">
        <v>214</v>
      </c>
    </row>
    <row r="123" spans="2:2">
      <c r="B123" s="25" t="s">
        <v>215</v>
      </c>
    </row>
    <row r="124" spans="2:2">
      <c r="B124" s="25" t="s">
        <v>216</v>
      </c>
    </row>
    <row r="125" spans="2:2">
      <c r="B125" s="25" t="s">
        <v>217</v>
      </c>
    </row>
    <row r="126" spans="2:2">
      <c r="B126" s="25" t="s">
        <v>218</v>
      </c>
    </row>
    <row r="127" spans="2:2">
      <c r="B127" s="25" t="s">
        <v>219</v>
      </c>
    </row>
    <row r="128" spans="2:2">
      <c r="B128" s="25" t="s">
        <v>220</v>
      </c>
    </row>
    <row r="129" spans="2:2">
      <c r="B129" s="25" t="s">
        <v>221</v>
      </c>
    </row>
    <row r="130" spans="2:2">
      <c r="B130" s="33" t="s">
        <v>222</v>
      </c>
    </row>
    <row r="131" spans="2:2">
      <c r="B131" s="33" t="s">
        <v>223</v>
      </c>
    </row>
    <row r="132" spans="2:2">
      <c r="B132" s="25" t="s">
        <v>224</v>
      </c>
    </row>
    <row r="133" spans="2:2">
      <c r="B133" s="25" t="s">
        <v>225</v>
      </c>
    </row>
  </sheetData>
  <phoneticPr fontId="2"/>
  <pageMargins left="0.78700000000000003" right="0.78700000000000003" top="0.98399999999999999" bottom="0.98399999999999999" header="0.51200000000000001" footer="0.51200000000000001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B1:HI145"/>
  <sheetViews>
    <sheetView topLeftCell="GO1" zoomScaleNormal="100" workbookViewId="0">
      <pane ySplit="1" topLeftCell="I15" activePane="bottomLeft" state="frozen"/>
      <selection pane="bottomLeft" activeCell="T32" sqref="T32"/>
      <selection activeCell="EJ1" sqref="EJ1"/>
    </sheetView>
  </sheetViews>
  <sheetFormatPr defaultColWidth="9" defaultRowHeight="11.25"/>
  <cols>
    <col min="1" max="1" width="1.5703125" style="25" customWidth="1"/>
    <col min="2" max="2" width="3.5703125" style="25" customWidth="1"/>
    <col min="3" max="3" width="17.7109375" style="25" customWidth="1"/>
    <col min="4" max="4" width="4.28515625" style="25" bestFit="1" customWidth="1"/>
    <col min="5" max="5" width="20.42578125" style="25" bestFit="1" customWidth="1"/>
    <col min="6" max="8" width="3.5703125" style="25" customWidth="1"/>
    <col min="9" max="9" width="13.42578125" style="25" bestFit="1" customWidth="1"/>
    <col min="10" max="10" width="3.5703125" style="25" customWidth="1"/>
    <col min="11" max="11" width="8.28515625" style="54" bestFit="1" customWidth="1"/>
    <col min="12" max="12" width="12.140625" style="25" bestFit="1" customWidth="1"/>
    <col min="13" max="13" width="10.42578125" style="26" bestFit="1" customWidth="1"/>
    <col min="14" max="14" width="4" style="25" bestFit="1" customWidth="1"/>
    <col min="15" max="15" width="9.5703125" style="28" bestFit="1" customWidth="1"/>
    <col min="16" max="16" width="8.7109375" style="28" bestFit="1" customWidth="1"/>
    <col min="17" max="17" width="8.42578125" style="25" bestFit="1" customWidth="1"/>
    <col min="18" max="18" width="3.5703125" style="25" customWidth="1"/>
    <col min="19" max="19" width="8.28515625" style="54" bestFit="1" customWidth="1"/>
    <col min="20" max="20" width="18.42578125" style="25" bestFit="1" customWidth="1"/>
    <col min="21" max="21" width="9.140625" style="25" customWidth="1"/>
    <col min="22" max="22" width="4" style="25" bestFit="1" customWidth="1"/>
    <col min="23" max="24" width="8.42578125" style="28" bestFit="1" customWidth="1"/>
    <col min="25" max="25" width="5.42578125" style="25" bestFit="1" customWidth="1"/>
    <col min="26" max="26" width="3.5703125" style="25" customWidth="1"/>
    <col min="27" max="27" width="8.28515625" style="54" bestFit="1" customWidth="1"/>
    <col min="28" max="28" width="11.42578125" style="25" bestFit="1" customWidth="1"/>
    <col min="29" max="29" width="10.140625" style="25" bestFit="1" customWidth="1"/>
    <col min="30" max="30" width="3" style="25" bestFit="1" customWidth="1"/>
    <col min="31" max="31" width="7.7109375" style="28" bestFit="1" customWidth="1"/>
    <col min="32" max="32" width="9.5703125" style="28" bestFit="1" customWidth="1"/>
    <col min="33" max="33" width="4.42578125" style="25" bestFit="1" customWidth="1"/>
    <col min="34" max="34" width="3.5703125" style="25" customWidth="1"/>
    <col min="35" max="35" width="8.28515625" style="54" bestFit="1" customWidth="1"/>
    <col min="36" max="36" width="16.42578125" style="25" bestFit="1" customWidth="1"/>
    <col min="37" max="37" width="15.140625" style="25" bestFit="1" customWidth="1"/>
    <col min="38" max="38" width="3" style="25" bestFit="1" customWidth="1"/>
    <col min="39" max="39" width="10.140625" style="28" bestFit="1" customWidth="1"/>
    <col min="40" max="40" width="9.5703125" style="28" bestFit="1" customWidth="1"/>
    <col min="41" max="41" width="5.28515625" style="29" bestFit="1" customWidth="1"/>
    <col min="42" max="42" width="3.5703125" style="25" customWidth="1"/>
    <col min="43" max="43" width="8.28515625" style="54" bestFit="1" customWidth="1"/>
    <col min="44" max="44" width="9" style="25" bestFit="1" customWidth="1"/>
    <col min="45" max="45" width="11.42578125" style="25" bestFit="1" customWidth="1"/>
    <col min="46" max="46" width="3" style="25" bestFit="1" customWidth="1"/>
    <col min="47" max="47" width="8.140625" style="28" bestFit="1" customWidth="1"/>
    <col min="48" max="48" width="7.85546875" style="28" bestFit="1" customWidth="1"/>
    <col min="49" max="49" width="4.42578125" style="25" bestFit="1" customWidth="1"/>
    <col min="50" max="50" width="3.5703125" style="25" customWidth="1"/>
    <col min="51" max="51" width="8.28515625" style="54" bestFit="1" customWidth="1"/>
    <col min="52" max="52" width="16.7109375" style="25" bestFit="1" customWidth="1"/>
    <col min="53" max="53" width="10.5703125" style="25" bestFit="1" customWidth="1"/>
    <col min="54" max="54" width="3" style="25" bestFit="1" customWidth="1"/>
    <col min="55" max="55" width="8.42578125" style="28" customWidth="1"/>
    <col min="56" max="56" width="8.42578125" style="28" bestFit="1" customWidth="1"/>
    <col min="57" max="57" width="4.42578125" style="25" bestFit="1" customWidth="1"/>
    <col min="58" max="58" width="5.5703125" style="25" customWidth="1"/>
    <col min="59" max="59" width="8.28515625" style="54" bestFit="1" customWidth="1"/>
    <col min="60" max="60" width="10.140625" style="25" bestFit="1" customWidth="1"/>
    <col min="61" max="61" width="9.28515625" style="25" bestFit="1" customWidth="1"/>
    <col min="62" max="62" width="3" style="25" bestFit="1" customWidth="1"/>
    <col min="63" max="63" width="7.7109375" style="28" bestFit="1" customWidth="1"/>
    <col min="64" max="64" width="6.7109375" style="28" bestFit="1" customWidth="1"/>
    <col min="65" max="65" width="4.42578125" style="25" bestFit="1" customWidth="1"/>
    <col min="66" max="66" width="3.5703125" style="25" customWidth="1"/>
    <col min="67" max="67" width="4.42578125" style="54" bestFit="1" customWidth="1"/>
    <col min="68" max="68" width="12.42578125" style="25" bestFit="1" customWidth="1"/>
    <col min="69" max="69" width="11.7109375" style="25" bestFit="1" customWidth="1"/>
    <col min="70" max="70" width="3" style="25" bestFit="1" customWidth="1"/>
    <col min="71" max="71" width="7.42578125" style="28" bestFit="1" customWidth="1"/>
    <col min="72" max="72" width="6" style="28" bestFit="1" customWidth="1"/>
    <col min="73" max="73" width="4.42578125" style="25" bestFit="1" customWidth="1"/>
    <col min="74" max="74" width="3.7109375" style="25" customWidth="1"/>
    <col min="75" max="75" width="4.42578125" style="54" bestFit="1" customWidth="1"/>
    <col min="76" max="76" width="10" style="25" bestFit="1" customWidth="1"/>
    <col min="77" max="77" width="7.28515625" style="25" bestFit="1" customWidth="1"/>
    <col min="78" max="78" width="3" style="25" bestFit="1" customWidth="1"/>
    <col min="79" max="79" width="7.7109375" style="28" bestFit="1" customWidth="1"/>
    <col min="80" max="80" width="6.7109375" style="28" bestFit="1" customWidth="1"/>
    <col min="81" max="81" width="4.42578125" style="25" bestFit="1" customWidth="1"/>
    <col min="82" max="82" width="3.5703125" style="25" customWidth="1"/>
    <col min="83" max="83" width="4.42578125" style="54" bestFit="1" customWidth="1"/>
    <col min="84" max="84" width="8.5703125" style="25" bestFit="1" customWidth="1"/>
    <col min="85" max="85" width="8" style="25" bestFit="1" customWidth="1"/>
    <col min="86" max="86" width="3" style="25" bestFit="1" customWidth="1"/>
    <col min="87" max="87" width="7.7109375" style="28" bestFit="1" customWidth="1"/>
    <col min="88" max="88" width="6.7109375" style="28" bestFit="1" customWidth="1"/>
    <col min="89" max="89" width="4.42578125" style="25" bestFit="1" customWidth="1"/>
    <col min="90" max="90" width="3.5703125" style="25" customWidth="1"/>
    <col min="91" max="91" width="4.42578125" style="54" bestFit="1" customWidth="1"/>
    <col min="92" max="92" width="6.85546875" style="25" bestFit="1" customWidth="1"/>
    <col min="93" max="93" width="9" style="25" bestFit="1" customWidth="1"/>
    <col min="94" max="94" width="3" style="25" bestFit="1" customWidth="1"/>
    <col min="95" max="95" width="7.42578125" style="28" bestFit="1" customWidth="1"/>
    <col min="96" max="96" width="6.7109375" style="28" bestFit="1" customWidth="1"/>
    <col min="97" max="97" width="4.42578125" style="25" bestFit="1" customWidth="1"/>
    <col min="98" max="98" width="3.5703125" style="25" customWidth="1"/>
    <col min="99" max="99" width="4.42578125" style="54" bestFit="1" customWidth="1"/>
    <col min="100" max="100" width="9" style="25" bestFit="1" customWidth="1"/>
    <col min="101" max="101" width="18.42578125" style="25" bestFit="1" customWidth="1"/>
    <col min="102" max="102" width="3" style="25" bestFit="1" customWidth="1"/>
    <col min="103" max="104" width="8.5703125" style="64" bestFit="1" customWidth="1"/>
    <col min="105" max="105" width="4.42578125" style="31" bestFit="1" customWidth="1"/>
    <col min="106" max="106" width="3.5703125" style="25" customWidth="1"/>
    <col min="107" max="107" width="8.28515625" style="54" bestFit="1" customWidth="1"/>
    <col min="108" max="108" width="21.42578125" style="25" bestFit="1" customWidth="1"/>
    <col min="109" max="109" width="18.5703125" style="25" customWidth="1"/>
    <col min="110" max="110" width="3" style="25" bestFit="1" customWidth="1"/>
    <col min="111" max="111" width="9.5703125" style="28" bestFit="1" customWidth="1"/>
    <col min="112" max="112" width="7.7109375" style="28" customWidth="1"/>
    <col min="113" max="113" width="5.42578125" style="31" bestFit="1" customWidth="1"/>
    <col min="114" max="114" width="3.5703125" style="25" customWidth="1"/>
    <col min="115" max="115" width="4.42578125" style="54" bestFit="1" customWidth="1"/>
    <col min="116" max="116" width="17.42578125" style="25" bestFit="1" customWidth="1"/>
    <col min="117" max="117" width="14.42578125" style="25" bestFit="1" customWidth="1"/>
    <col min="118" max="118" width="3.7109375" style="25" bestFit="1" customWidth="1"/>
    <col min="119" max="120" width="8.42578125" style="28" bestFit="1" customWidth="1"/>
    <col min="121" max="121" width="4.42578125" style="25" bestFit="1" customWidth="1"/>
    <col min="122" max="122" width="5.5703125" style="25" customWidth="1"/>
    <col min="123" max="123" width="4.42578125" style="54" bestFit="1" customWidth="1"/>
    <col min="124" max="124" width="9.85546875" style="25" bestFit="1" customWidth="1"/>
    <col min="125" max="125" width="24" style="25" customWidth="1"/>
    <col min="126" max="126" width="3" style="25" bestFit="1" customWidth="1"/>
    <col min="127" max="128" width="7.7109375" style="28" bestFit="1" customWidth="1"/>
    <col min="129" max="129" width="4.42578125" style="25" bestFit="1" customWidth="1"/>
    <col min="130" max="130" width="3.5703125" style="25" customWidth="1"/>
    <col min="131" max="131" width="8.28515625" style="54" bestFit="1" customWidth="1"/>
    <col min="132" max="132" width="10.42578125" style="25" bestFit="1" customWidth="1"/>
    <col min="133" max="133" width="13.85546875" style="25" bestFit="1" customWidth="1"/>
    <col min="134" max="134" width="4" style="25" bestFit="1" customWidth="1"/>
    <col min="135" max="136" width="9.5703125" style="28" bestFit="1" customWidth="1"/>
    <col min="137" max="137" width="5.42578125" style="29" bestFit="1" customWidth="1"/>
    <col min="138" max="138" width="3.5703125" style="26" customWidth="1"/>
    <col min="139" max="139" width="8.28515625" style="55" bestFit="1" customWidth="1"/>
    <col min="140" max="140" width="11.5703125" style="25" bestFit="1" customWidth="1"/>
    <col min="141" max="141" width="14" style="25" bestFit="1" customWidth="1"/>
    <col min="142" max="142" width="4.42578125" style="25" bestFit="1" customWidth="1"/>
    <col min="143" max="143" width="7.42578125" style="28" bestFit="1" customWidth="1"/>
    <col min="144" max="144" width="8.42578125" style="28" bestFit="1" customWidth="1"/>
    <col min="145" max="145" width="4.42578125" style="25" bestFit="1" customWidth="1"/>
    <col min="146" max="146" width="3.5703125" style="25" customWidth="1"/>
    <col min="147" max="147" width="8.5703125" style="54" bestFit="1" customWidth="1"/>
    <col min="148" max="148" width="16.5703125" style="25" bestFit="1" customWidth="1"/>
    <col min="149" max="149" width="15.5703125" style="25" bestFit="1" customWidth="1"/>
    <col min="150" max="150" width="4.85546875" style="25" customWidth="1"/>
    <col min="151" max="151" width="7.42578125" style="28" bestFit="1" customWidth="1"/>
    <col min="152" max="152" width="6" style="28" bestFit="1" customWidth="1"/>
    <col min="153" max="153" width="4.42578125" style="25" bestFit="1" customWidth="1"/>
    <col min="154" max="154" width="4" style="25" customWidth="1"/>
    <col min="155" max="155" width="4.42578125" style="54" bestFit="1" customWidth="1"/>
    <col min="156" max="156" width="13.85546875" style="25" bestFit="1" customWidth="1"/>
    <col min="157" max="157" width="5.28515625" style="25" bestFit="1" customWidth="1"/>
    <col min="158" max="158" width="3" style="25" bestFit="1" customWidth="1"/>
    <col min="159" max="159" width="7.42578125" style="28" bestFit="1" customWidth="1"/>
    <col min="160" max="160" width="6" style="28" bestFit="1" customWidth="1"/>
    <col min="161" max="161" width="4.42578125" style="25" bestFit="1" customWidth="1"/>
    <col min="162" max="162" width="3.5703125" style="25" customWidth="1"/>
    <col min="163" max="163" width="8.28515625" style="54" bestFit="1" customWidth="1"/>
    <col min="164" max="164" width="13" style="25" bestFit="1" customWidth="1"/>
    <col min="165" max="165" width="10.42578125" style="25" bestFit="1" customWidth="1"/>
    <col min="166" max="166" width="3" style="25" bestFit="1" customWidth="1"/>
    <col min="167" max="167" width="9.5703125" style="28" bestFit="1" customWidth="1"/>
    <col min="168" max="168" width="8.42578125" style="28" bestFit="1" customWidth="1"/>
    <col min="169" max="169" width="4.42578125" style="25" bestFit="1" customWidth="1"/>
    <col min="170" max="170" width="3.5703125" style="25" customWidth="1"/>
    <col min="171" max="171" width="8.28515625" style="54" bestFit="1" customWidth="1"/>
    <col min="172" max="172" width="14.140625" style="25" bestFit="1" customWidth="1"/>
    <col min="173" max="173" width="11" style="25" bestFit="1" customWidth="1"/>
    <col min="174" max="174" width="3" style="25" bestFit="1" customWidth="1"/>
    <col min="175" max="176" width="7.7109375" style="30" bestFit="1" customWidth="1"/>
    <col min="177" max="177" width="4.42578125" style="31" bestFit="1" customWidth="1"/>
    <col min="178" max="178" width="3.5703125" style="25" customWidth="1"/>
    <col min="179" max="179" width="4.42578125" style="54" bestFit="1" customWidth="1"/>
    <col min="180" max="180" width="11.7109375" style="25" bestFit="1" customWidth="1"/>
    <col min="181" max="181" width="6" style="27" bestFit="1" customWidth="1"/>
    <col min="182" max="182" width="3" style="25" bestFit="1" customWidth="1"/>
    <col min="183" max="183" width="7.42578125" style="28" bestFit="1" customWidth="1"/>
    <col min="184" max="184" width="6.85546875" style="28" bestFit="1" customWidth="1"/>
    <col min="185" max="185" width="4.42578125" style="25" bestFit="1" customWidth="1"/>
    <col min="186" max="186" width="5.5703125" style="25" customWidth="1"/>
    <col min="187" max="187" width="8.28515625" style="54" bestFit="1" customWidth="1"/>
    <col min="188" max="188" width="14.7109375" style="25" bestFit="1" customWidth="1"/>
    <col min="189" max="189" width="9.28515625" style="25" bestFit="1" customWidth="1"/>
    <col min="190" max="190" width="3" style="25" bestFit="1" customWidth="1"/>
    <col min="191" max="191" width="7.85546875" style="28" bestFit="1" customWidth="1"/>
    <col min="192" max="192" width="7.7109375" style="28" bestFit="1" customWidth="1"/>
    <col min="193" max="193" width="4.42578125" style="25" bestFit="1" customWidth="1"/>
    <col min="194" max="194" width="3.5703125" style="25" customWidth="1"/>
    <col min="195" max="195" width="8.28515625" style="54" bestFit="1" customWidth="1"/>
    <col min="196" max="196" width="15.140625" style="25" bestFit="1" customWidth="1"/>
    <col min="197" max="197" width="10" style="25" bestFit="1" customWidth="1"/>
    <col min="198" max="198" width="3" style="25" bestFit="1" customWidth="1"/>
    <col min="199" max="199" width="8.140625" style="28" bestFit="1" customWidth="1"/>
    <col min="200" max="200" width="7.85546875" style="28" bestFit="1" customWidth="1"/>
    <col min="201" max="201" width="4.42578125" style="25" bestFit="1" customWidth="1"/>
    <col min="202" max="202" width="3.5703125" style="25" customWidth="1"/>
    <col min="203" max="203" width="4.42578125" style="54" bestFit="1" customWidth="1"/>
    <col min="204" max="204" width="12.42578125" style="25" bestFit="1" customWidth="1"/>
    <col min="205" max="205" width="11.7109375" style="25" bestFit="1" customWidth="1"/>
    <col min="206" max="206" width="3" style="25" bestFit="1" customWidth="1"/>
    <col min="207" max="207" width="7.42578125" style="28" bestFit="1" customWidth="1"/>
    <col min="208" max="208" width="10.28515625" style="28" bestFit="1" customWidth="1"/>
    <col min="209" max="209" width="4.42578125" style="25" bestFit="1" customWidth="1"/>
    <col min="210" max="213" width="9.140625" style="25" customWidth="1"/>
    <col min="214" max="214" width="9.140625" style="27" customWidth="1"/>
    <col min="215" max="216" width="9.140625" style="25" customWidth="1"/>
    <col min="217" max="217" width="9.140625" style="62" customWidth="1"/>
    <col min="218" max="16384" width="9" style="25"/>
  </cols>
  <sheetData>
    <row r="1" spans="2:216">
      <c r="K1" s="54" t="s">
        <v>226</v>
      </c>
      <c r="L1" s="25" t="s">
        <v>227</v>
      </c>
      <c r="M1" s="26" t="s">
        <v>228</v>
      </c>
      <c r="O1" s="28" t="s">
        <v>229</v>
      </c>
      <c r="P1" s="28" t="s">
        <v>230</v>
      </c>
      <c r="Q1" s="25" t="s">
        <v>231</v>
      </c>
      <c r="S1" s="54" t="s">
        <v>226</v>
      </c>
      <c r="T1" s="25" t="s">
        <v>227</v>
      </c>
      <c r="U1" s="26" t="s">
        <v>228</v>
      </c>
      <c r="W1" s="28" t="s">
        <v>229</v>
      </c>
      <c r="X1" s="28" t="s">
        <v>230</v>
      </c>
      <c r="Y1" s="25" t="s">
        <v>231</v>
      </c>
      <c r="AA1" s="54" t="s">
        <v>226</v>
      </c>
      <c r="AB1" s="25" t="s">
        <v>227</v>
      </c>
      <c r="AC1" s="26" t="s">
        <v>228</v>
      </c>
      <c r="AE1" s="28" t="s">
        <v>229</v>
      </c>
      <c r="AF1" s="28" t="s">
        <v>230</v>
      </c>
      <c r="AG1" s="25" t="s">
        <v>231</v>
      </c>
      <c r="AI1" s="54" t="s">
        <v>226</v>
      </c>
      <c r="AJ1" s="25" t="s">
        <v>227</v>
      </c>
      <c r="AK1" s="26" t="s">
        <v>228</v>
      </c>
      <c r="AM1" s="28" t="s">
        <v>229</v>
      </c>
      <c r="AN1" s="28" t="s">
        <v>230</v>
      </c>
      <c r="AO1" s="25" t="s">
        <v>231</v>
      </c>
      <c r="AQ1" s="54" t="s">
        <v>226</v>
      </c>
      <c r="AR1" s="25" t="s">
        <v>227</v>
      </c>
      <c r="AS1" s="26" t="s">
        <v>228</v>
      </c>
      <c r="AU1" s="28" t="s">
        <v>229</v>
      </c>
      <c r="AV1" s="28" t="s">
        <v>230</v>
      </c>
      <c r="AW1" s="25" t="s">
        <v>231</v>
      </c>
      <c r="AY1" s="54" t="s">
        <v>226</v>
      </c>
      <c r="AZ1" s="25" t="s">
        <v>227</v>
      </c>
      <c r="BA1" s="26" t="s">
        <v>228</v>
      </c>
      <c r="BC1" s="28" t="s">
        <v>229</v>
      </c>
      <c r="BD1" s="28" t="s">
        <v>230</v>
      </c>
      <c r="BE1" s="25" t="s">
        <v>231</v>
      </c>
      <c r="BG1" s="54" t="s">
        <v>226</v>
      </c>
      <c r="BH1" s="25" t="s">
        <v>227</v>
      </c>
      <c r="BI1" s="26" t="s">
        <v>228</v>
      </c>
      <c r="BK1" s="28" t="s">
        <v>229</v>
      </c>
      <c r="BL1" s="28" t="s">
        <v>230</v>
      </c>
      <c r="BM1" s="25" t="s">
        <v>231</v>
      </c>
      <c r="BO1" s="54" t="s">
        <v>226</v>
      </c>
      <c r="BP1" s="25" t="s">
        <v>227</v>
      </c>
      <c r="BQ1" s="26" t="s">
        <v>228</v>
      </c>
      <c r="BS1" s="28" t="s">
        <v>229</v>
      </c>
      <c r="BT1" s="28" t="s">
        <v>230</v>
      </c>
      <c r="BU1" s="25" t="s">
        <v>231</v>
      </c>
      <c r="BW1" s="54" t="s">
        <v>226</v>
      </c>
      <c r="BX1" s="25" t="s">
        <v>227</v>
      </c>
      <c r="BY1" s="26" t="s">
        <v>228</v>
      </c>
      <c r="CA1" s="28" t="s">
        <v>229</v>
      </c>
      <c r="CB1" s="28" t="s">
        <v>230</v>
      </c>
      <c r="CC1" s="25" t="s">
        <v>231</v>
      </c>
      <c r="CE1" s="54" t="s">
        <v>226</v>
      </c>
      <c r="CF1" s="25" t="s">
        <v>227</v>
      </c>
      <c r="CG1" s="26" t="s">
        <v>228</v>
      </c>
      <c r="CI1" s="28" t="s">
        <v>229</v>
      </c>
      <c r="CJ1" s="28" t="s">
        <v>230</v>
      </c>
      <c r="CK1" s="25" t="s">
        <v>231</v>
      </c>
      <c r="CM1" s="54" t="s">
        <v>226</v>
      </c>
      <c r="CN1" s="25" t="s">
        <v>227</v>
      </c>
      <c r="CO1" s="26" t="s">
        <v>228</v>
      </c>
      <c r="CQ1" s="28" t="s">
        <v>229</v>
      </c>
      <c r="CR1" s="28" t="s">
        <v>230</v>
      </c>
      <c r="CS1" s="25" t="s">
        <v>231</v>
      </c>
      <c r="CU1" s="54" t="s">
        <v>226</v>
      </c>
      <c r="CV1" s="25" t="s">
        <v>227</v>
      </c>
      <c r="CW1" s="26" t="s">
        <v>228</v>
      </c>
      <c r="CY1" s="64" t="s">
        <v>229</v>
      </c>
      <c r="CZ1" s="64" t="s">
        <v>230</v>
      </c>
      <c r="DA1" s="31" t="s">
        <v>231</v>
      </c>
      <c r="DC1" s="54" t="s">
        <v>226</v>
      </c>
      <c r="DD1" s="25" t="s">
        <v>227</v>
      </c>
      <c r="DE1" s="26" t="s">
        <v>228</v>
      </c>
      <c r="DG1" s="28" t="s">
        <v>229</v>
      </c>
      <c r="DH1" s="28" t="s">
        <v>230</v>
      </c>
      <c r="DI1" s="31" t="s">
        <v>231</v>
      </c>
      <c r="DK1" s="54" t="s">
        <v>226</v>
      </c>
      <c r="DL1" s="25" t="s">
        <v>227</v>
      </c>
      <c r="DM1" s="26" t="s">
        <v>228</v>
      </c>
      <c r="DO1" s="28" t="s">
        <v>229</v>
      </c>
      <c r="DP1" s="28" t="s">
        <v>230</v>
      </c>
      <c r="DQ1" s="25" t="s">
        <v>231</v>
      </c>
      <c r="DS1" s="54" t="s">
        <v>226</v>
      </c>
      <c r="DT1" s="25" t="s">
        <v>227</v>
      </c>
      <c r="DU1" s="26" t="s">
        <v>228</v>
      </c>
      <c r="DW1" s="28" t="s">
        <v>229</v>
      </c>
      <c r="DX1" s="28" t="s">
        <v>230</v>
      </c>
      <c r="DY1" s="25" t="s">
        <v>231</v>
      </c>
      <c r="EA1" s="54" t="s">
        <v>226</v>
      </c>
      <c r="EB1" s="25" t="s">
        <v>227</v>
      </c>
      <c r="EC1" s="26" t="s">
        <v>228</v>
      </c>
      <c r="EE1" s="28" t="s">
        <v>229</v>
      </c>
      <c r="EF1" s="28" t="s">
        <v>230</v>
      </c>
      <c r="EG1" s="25" t="s">
        <v>231</v>
      </c>
      <c r="EI1" s="54" t="s">
        <v>226</v>
      </c>
      <c r="EJ1" s="25" t="s">
        <v>227</v>
      </c>
      <c r="EK1" s="26" t="s">
        <v>228</v>
      </c>
      <c r="EM1" s="28" t="s">
        <v>229</v>
      </c>
      <c r="EN1" s="28" t="s">
        <v>230</v>
      </c>
      <c r="EO1" s="25" t="s">
        <v>231</v>
      </c>
      <c r="EQ1" s="54" t="s">
        <v>226</v>
      </c>
      <c r="ER1" s="25" t="s">
        <v>227</v>
      </c>
      <c r="ES1" s="26" t="s">
        <v>228</v>
      </c>
      <c r="EU1" s="28" t="s">
        <v>229</v>
      </c>
      <c r="EV1" s="28" t="s">
        <v>230</v>
      </c>
      <c r="EW1" s="25" t="s">
        <v>231</v>
      </c>
      <c r="EY1" s="54" t="s">
        <v>226</v>
      </c>
      <c r="EZ1" s="25" t="s">
        <v>227</v>
      </c>
      <c r="FA1" s="26" t="s">
        <v>228</v>
      </c>
      <c r="FC1" s="28" t="s">
        <v>229</v>
      </c>
      <c r="FD1" s="28" t="s">
        <v>230</v>
      </c>
      <c r="FE1" s="25" t="s">
        <v>231</v>
      </c>
      <c r="FG1" s="54" t="s">
        <v>226</v>
      </c>
      <c r="FH1" s="25" t="s">
        <v>227</v>
      </c>
      <c r="FI1" s="26" t="s">
        <v>228</v>
      </c>
      <c r="FK1" s="28" t="s">
        <v>229</v>
      </c>
      <c r="FL1" s="28" t="s">
        <v>230</v>
      </c>
      <c r="FM1" s="25" t="s">
        <v>231</v>
      </c>
      <c r="FO1" s="54" t="s">
        <v>226</v>
      </c>
      <c r="FP1" s="25" t="s">
        <v>227</v>
      </c>
      <c r="FQ1" s="26" t="s">
        <v>228</v>
      </c>
      <c r="FS1" s="28" t="s">
        <v>229</v>
      </c>
      <c r="FT1" s="28" t="s">
        <v>230</v>
      </c>
      <c r="FU1" s="25" t="s">
        <v>231</v>
      </c>
      <c r="FW1" s="54" t="s">
        <v>226</v>
      </c>
      <c r="FX1" s="25" t="s">
        <v>227</v>
      </c>
      <c r="FY1" s="26" t="s">
        <v>228</v>
      </c>
      <c r="GA1" s="28" t="s">
        <v>229</v>
      </c>
      <c r="GB1" s="28" t="s">
        <v>230</v>
      </c>
      <c r="GC1" s="25" t="s">
        <v>231</v>
      </c>
      <c r="GE1" s="54" t="s">
        <v>226</v>
      </c>
      <c r="GF1" s="25" t="s">
        <v>227</v>
      </c>
      <c r="GG1" s="26" t="s">
        <v>228</v>
      </c>
      <c r="GI1" s="28" t="s">
        <v>229</v>
      </c>
      <c r="GJ1" s="28" t="s">
        <v>230</v>
      </c>
      <c r="GK1" s="25" t="s">
        <v>231</v>
      </c>
      <c r="GM1" s="54" t="s">
        <v>226</v>
      </c>
      <c r="GN1" s="25" t="s">
        <v>227</v>
      </c>
      <c r="GO1" s="26" t="s">
        <v>228</v>
      </c>
      <c r="GQ1" s="28" t="s">
        <v>229</v>
      </c>
      <c r="GR1" s="28" t="s">
        <v>230</v>
      </c>
      <c r="GS1" s="25" t="s">
        <v>231</v>
      </c>
      <c r="GU1" s="54" t="s">
        <v>226</v>
      </c>
      <c r="GV1" s="25" t="s">
        <v>227</v>
      </c>
      <c r="GW1" s="26" t="s">
        <v>228</v>
      </c>
      <c r="GY1" s="28" t="s">
        <v>229</v>
      </c>
      <c r="GZ1" s="28" t="s">
        <v>230</v>
      </c>
      <c r="HA1" s="25" t="s">
        <v>231</v>
      </c>
    </row>
    <row r="2" spans="2:216">
      <c r="U2" s="26"/>
      <c r="BL2" s="25">
        <v>0.43</v>
      </c>
      <c r="BP2" s="32" t="s">
        <v>232</v>
      </c>
      <c r="BX2" s="32"/>
      <c r="CF2" s="32"/>
      <c r="CN2" s="32"/>
      <c r="CV2" s="32"/>
      <c r="CZ2" s="66"/>
      <c r="DL2" s="32"/>
      <c r="DP2" s="32">
        <v>0.15</v>
      </c>
      <c r="DT2" s="32"/>
      <c r="DU2" s="25" t="s">
        <v>233</v>
      </c>
      <c r="DX2" s="32">
        <v>0.55000000000000004</v>
      </c>
      <c r="EC2" s="32" t="s">
        <v>234</v>
      </c>
      <c r="EJ2" s="32" t="s">
        <v>235</v>
      </c>
      <c r="ER2" s="32" t="s">
        <v>236</v>
      </c>
      <c r="EZ2" s="32" t="s">
        <v>237</v>
      </c>
      <c r="FH2" s="25" t="s">
        <v>238</v>
      </c>
      <c r="FP2" s="139" t="s">
        <v>239</v>
      </c>
      <c r="FS2" s="140"/>
      <c r="FT2" s="140"/>
      <c r="FX2" s="32"/>
      <c r="GF2" s="139" t="s">
        <v>240</v>
      </c>
      <c r="GJ2" s="25"/>
      <c r="GN2" s="32" t="s">
        <v>241</v>
      </c>
      <c r="GV2" s="32" t="s">
        <v>242</v>
      </c>
      <c r="HC2" s="54"/>
    </row>
    <row r="3" spans="2:216">
      <c r="B3" s="25">
        <v>1</v>
      </c>
      <c r="C3" s="322" t="s">
        <v>243</v>
      </c>
      <c r="D3" s="25" t="s">
        <v>244</v>
      </c>
      <c r="E3" s="25" t="s">
        <v>245</v>
      </c>
      <c r="I3" s="26" t="s">
        <v>246</v>
      </c>
      <c r="K3" s="238" t="s">
        <v>247</v>
      </c>
      <c r="L3" s="25" t="s">
        <v>248</v>
      </c>
      <c r="M3" s="236" t="s">
        <v>249</v>
      </c>
      <c r="N3" s="322" t="s">
        <v>73</v>
      </c>
      <c r="O3" s="225">
        <v>909000</v>
      </c>
      <c r="P3" s="323">
        <v>470450</v>
      </c>
      <c r="Q3" s="31">
        <v>1.25</v>
      </c>
      <c r="R3" s="72"/>
      <c r="S3" s="249" t="s">
        <v>250</v>
      </c>
      <c r="T3" s="25" t="s">
        <v>251</v>
      </c>
      <c r="U3" s="25" t="s">
        <v>252</v>
      </c>
      <c r="V3" s="322" t="s">
        <v>73</v>
      </c>
      <c r="W3" s="225">
        <v>331000</v>
      </c>
      <c r="X3" s="323">
        <v>139730</v>
      </c>
      <c r="Y3" s="31">
        <v>0.52</v>
      </c>
      <c r="AA3" s="216" t="s">
        <v>253</v>
      </c>
      <c r="AB3" s="25" t="s">
        <v>254</v>
      </c>
      <c r="AC3" s="25" t="s">
        <v>255</v>
      </c>
      <c r="AD3" s="322" t="s">
        <v>73</v>
      </c>
      <c r="AE3" s="323">
        <v>512000</v>
      </c>
      <c r="AF3" s="323">
        <v>232620</v>
      </c>
      <c r="AG3" s="31">
        <v>1</v>
      </c>
      <c r="AI3" s="327" t="s">
        <v>256</v>
      </c>
      <c r="AJ3" s="25" t="s">
        <v>257</v>
      </c>
      <c r="AK3" s="322" t="s">
        <v>258</v>
      </c>
      <c r="AL3" s="322" t="s">
        <v>73</v>
      </c>
      <c r="AM3" s="326">
        <v>2579000</v>
      </c>
      <c r="AN3" s="326">
        <v>703660</v>
      </c>
      <c r="AO3" s="29">
        <v>2.2999999999999998</v>
      </c>
      <c r="AQ3" s="124" t="s">
        <v>259</v>
      </c>
      <c r="AR3" s="25" t="s">
        <v>260</v>
      </c>
      <c r="AS3" s="130" t="s">
        <v>261</v>
      </c>
      <c r="AT3" s="322" t="s">
        <v>73</v>
      </c>
      <c r="AU3" s="245">
        <v>1000000</v>
      </c>
      <c r="AV3" s="326">
        <v>310890</v>
      </c>
      <c r="AW3" s="31">
        <v>1.3</v>
      </c>
      <c r="AY3" s="92" t="s">
        <v>262</v>
      </c>
      <c r="AZ3" s="25" t="s">
        <v>263</v>
      </c>
      <c r="BA3" s="25" t="s">
        <v>264</v>
      </c>
      <c r="BB3" s="322" t="s">
        <v>73</v>
      </c>
      <c r="BC3" s="245">
        <v>1845000</v>
      </c>
      <c r="BD3" s="326">
        <v>663790</v>
      </c>
      <c r="BE3" s="31">
        <v>1.2</v>
      </c>
      <c r="BG3" s="54" t="s">
        <v>265</v>
      </c>
      <c r="BH3" s="25" t="s">
        <v>266</v>
      </c>
      <c r="BI3" s="25" t="s">
        <v>267</v>
      </c>
      <c r="BJ3" s="25" t="s">
        <v>69</v>
      </c>
      <c r="BK3" s="225">
        <v>226000</v>
      </c>
      <c r="BL3" s="227">
        <v>81600</v>
      </c>
      <c r="BM3" s="31">
        <v>0.5</v>
      </c>
      <c r="BP3" s="322" t="s">
        <v>268</v>
      </c>
      <c r="BQ3" s="25" t="s">
        <v>269</v>
      </c>
      <c r="BR3" s="25" t="s">
        <v>81</v>
      </c>
      <c r="BS3" s="326">
        <f t="shared" ref="BS3:BS10" si="0">ROUND(BT3/0.4,-3)</f>
        <v>86000</v>
      </c>
      <c r="BT3" s="326">
        <v>34400</v>
      </c>
      <c r="BU3" s="31">
        <v>0.72</v>
      </c>
      <c r="BV3" s="255"/>
      <c r="BX3" s="25" t="s">
        <v>270</v>
      </c>
      <c r="BY3" s="25" t="s">
        <v>271</v>
      </c>
      <c r="BZ3" s="25" t="s">
        <v>69</v>
      </c>
      <c r="CA3" s="28">
        <v>125000</v>
      </c>
      <c r="CB3" s="28">
        <f>CA3*0.48</f>
        <v>60000</v>
      </c>
      <c r="CC3" s="25">
        <v>1</v>
      </c>
      <c r="CF3" s="25" t="s">
        <v>272</v>
      </c>
      <c r="CG3" s="25" t="s">
        <v>273</v>
      </c>
      <c r="CH3" s="25" t="s">
        <v>69</v>
      </c>
      <c r="CI3" s="28">
        <v>120000</v>
      </c>
      <c r="CJ3" s="28">
        <v>66000</v>
      </c>
      <c r="CK3" s="25">
        <v>2.5</v>
      </c>
      <c r="CN3" s="25" t="s">
        <v>274</v>
      </c>
      <c r="CO3" s="25" t="s">
        <v>275</v>
      </c>
      <c r="CP3" s="25" t="s">
        <v>69</v>
      </c>
      <c r="CQ3" s="28">
        <v>23000</v>
      </c>
      <c r="CR3" s="28">
        <v>15000</v>
      </c>
      <c r="CS3" s="25">
        <v>0.2</v>
      </c>
      <c r="CV3" s="123" t="s">
        <v>276</v>
      </c>
      <c r="CW3" s="123" t="s">
        <v>277</v>
      </c>
      <c r="CX3" s="123" t="s">
        <v>278</v>
      </c>
      <c r="CY3" s="101">
        <v>102000</v>
      </c>
      <c r="CZ3" s="100">
        <f>ROUND(CY3*0.53,-1)</f>
        <v>54060</v>
      </c>
      <c r="DA3" s="90">
        <v>0.3</v>
      </c>
      <c r="DC3" s="327" t="s">
        <v>279</v>
      </c>
      <c r="DD3" s="322" t="s">
        <v>280</v>
      </c>
      <c r="DE3" s="322" t="s">
        <v>281</v>
      </c>
      <c r="DF3" s="322" t="s">
        <v>53</v>
      </c>
      <c r="DG3" s="326">
        <v>1573000</v>
      </c>
      <c r="DH3" s="326">
        <v>822710</v>
      </c>
      <c r="DI3" s="187">
        <v>2.9</v>
      </c>
      <c r="DL3" s="25" t="s">
        <v>282</v>
      </c>
      <c r="DM3" s="25" t="s">
        <v>283</v>
      </c>
      <c r="DN3" s="25" t="s">
        <v>69</v>
      </c>
      <c r="DO3" s="104">
        <v>1730000</v>
      </c>
      <c r="DP3" s="104">
        <f>ROUNDUP(DO3*$DP$2,-2)</f>
        <v>259500</v>
      </c>
      <c r="DQ3" s="25">
        <v>0</v>
      </c>
      <c r="DT3" s="25" t="s">
        <v>284</v>
      </c>
      <c r="DU3" s="25" t="s">
        <v>285</v>
      </c>
      <c r="DV3" s="25" t="s">
        <v>286</v>
      </c>
      <c r="DW3" s="73">
        <v>352000</v>
      </c>
      <c r="DX3" s="73">
        <v>193600</v>
      </c>
      <c r="DY3" s="25">
        <v>0.3</v>
      </c>
      <c r="EA3" s="54" t="s">
        <v>287</v>
      </c>
      <c r="EB3" s="25" t="s">
        <v>288</v>
      </c>
      <c r="EC3" s="130" t="s">
        <v>289</v>
      </c>
      <c r="ED3" s="25" t="s">
        <v>290</v>
      </c>
      <c r="EE3" s="245">
        <v>40100</v>
      </c>
      <c r="EF3" s="326">
        <v>17310</v>
      </c>
      <c r="EG3" s="29">
        <v>0.1</v>
      </c>
      <c r="EI3" s="55" t="s">
        <v>291</v>
      </c>
      <c r="EJ3" s="25" t="s">
        <v>292</v>
      </c>
      <c r="EK3" s="130" t="s">
        <v>293</v>
      </c>
      <c r="EL3" s="25" t="s">
        <v>53</v>
      </c>
      <c r="EM3" s="227">
        <v>33400</v>
      </c>
      <c r="EN3" s="326">
        <v>6360</v>
      </c>
      <c r="EO3" s="31">
        <v>0.7</v>
      </c>
      <c r="EQ3" s="137" t="s">
        <v>294</v>
      </c>
      <c r="ER3" s="25" t="s">
        <v>295</v>
      </c>
      <c r="ES3" s="138" t="s">
        <v>296</v>
      </c>
      <c r="ET3" s="25" t="s">
        <v>81</v>
      </c>
      <c r="EU3" s="228">
        <v>10690</v>
      </c>
      <c r="EV3" s="228">
        <v>4704</v>
      </c>
      <c r="EW3" s="29">
        <v>0</v>
      </c>
      <c r="EZ3" s="25" t="s">
        <v>297</v>
      </c>
      <c r="FA3" s="25" t="s">
        <v>298</v>
      </c>
      <c r="FB3" s="25" t="s">
        <v>299</v>
      </c>
      <c r="FC3" s="222">
        <v>2100</v>
      </c>
      <c r="FD3" s="222">
        <f>FC3*0.65</f>
        <v>1365</v>
      </c>
      <c r="FE3" s="25">
        <v>0.16</v>
      </c>
      <c r="FG3" s="54" t="s">
        <v>300</v>
      </c>
      <c r="FH3" s="25" t="s">
        <v>238</v>
      </c>
      <c r="FI3" s="25" t="s">
        <v>301</v>
      </c>
      <c r="FJ3" s="25" t="s">
        <v>81</v>
      </c>
      <c r="FK3" s="227">
        <v>11600</v>
      </c>
      <c r="FL3" s="326">
        <v>2710</v>
      </c>
      <c r="FO3" s="249" t="s">
        <v>302</v>
      </c>
      <c r="FP3" s="141" t="s">
        <v>248</v>
      </c>
      <c r="FQ3" s="224" t="s">
        <v>303</v>
      </c>
      <c r="FR3" s="322" t="s">
        <v>73</v>
      </c>
      <c r="FS3" s="244">
        <v>1165000</v>
      </c>
      <c r="FT3" s="330">
        <v>498460</v>
      </c>
      <c r="FU3" s="31">
        <v>1.25</v>
      </c>
      <c r="FX3" s="25" t="s">
        <v>304</v>
      </c>
      <c r="FY3" s="25" t="s">
        <v>305</v>
      </c>
      <c r="FZ3" s="25" t="s">
        <v>81</v>
      </c>
      <c r="GA3" s="214">
        <v>18000</v>
      </c>
      <c r="GB3" s="214">
        <v>9000</v>
      </c>
      <c r="GC3" s="25">
        <v>0.11</v>
      </c>
      <c r="GE3" s="249" t="s">
        <v>306</v>
      </c>
      <c r="GF3" s="343" t="s">
        <v>307</v>
      </c>
      <c r="GG3" s="224" t="s">
        <v>308</v>
      </c>
      <c r="GH3" s="322" t="s">
        <v>73</v>
      </c>
      <c r="GI3" s="244">
        <v>1161000</v>
      </c>
      <c r="GJ3" s="323">
        <v>549400</v>
      </c>
      <c r="GK3" s="31">
        <v>1.25</v>
      </c>
      <c r="GM3" s="124" t="s">
        <v>309</v>
      </c>
      <c r="GN3" s="25" t="s">
        <v>310</v>
      </c>
      <c r="GO3" s="67" t="s">
        <v>311</v>
      </c>
      <c r="GP3" s="322" t="s">
        <v>73</v>
      </c>
      <c r="GQ3" s="245">
        <v>693000</v>
      </c>
      <c r="GR3" s="326">
        <v>234170</v>
      </c>
      <c r="GS3" s="142">
        <v>0.7</v>
      </c>
      <c r="GV3" s="25" t="s">
        <v>312</v>
      </c>
      <c r="GW3" s="25" t="s">
        <v>269</v>
      </c>
      <c r="GX3" s="25" t="s">
        <v>81</v>
      </c>
      <c r="GY3" s="326">
        <f t="shared" ref="GY3:GY10" si="1">ROUND(GZ3/0.33,-3)</f>
        <v>111000</v>
      </c>
      <c r="GZ3" s="326">
        <v>36600</v>
      </c>
      <c r="HA3" s="25">
        <v>0.72</v>
      </c>
      <c r="HC3" s="54"/>
      <c r="HG3" s="61"/>
      <c r="HH3" s="61"/>
    </row>
    <row r="4" spans="2:216">
      <c r="B4" s="25">
        <v>3</v>
      </c>
      <c r="C4" s="25" t="s">
        <v>313</v>
      </c>
      <c r="D4" s="25" t="s">
        <v>314</v>
      </c>
      <c r="E4" s="25" t="s">
        <v>315</v>
      </c>
      <c r="I4" s="27">
        <v>2</v>
      </c>
      <c r="K4" s="238" t="s">
        <v>316</v>
      </c>
      <c r="L4" s="25" t="s">
        <v>248</v>
      </c>
      <c r="M4" s="236" t="s">
        <v>317</v>
      </c>
      <c r="N4" s="322" t="s">
        <v>73</v>
      </c>
      <c r="O4" s="225">
        <v>925000</v>
      </c>
      <c r="P4" s="323">
        <v>481600</v>
      </c>
      <c r="Q4" s="31">
        <v>1.25</v>
      </c>
      <c r="R4" s="72"/>
      <c r="S4" s="249" t="s">
        <v>318</v>
      </c>
      <c r="T4" s="25" t="s">
        <v>251</v>
      </c>
      <c r="U4" s="25" t="s">
        <v>319</v>
      </c>
      <c r="V4" s="322" t="s">
        <v>73</v>
      </c>
      <c r="W4" s="225">
        <v>400000</v>
      </c>
      <c r="X4" s="323">
        <v>143600</v>
      </c>
      <c r="Y4" s="31">
        <v>0.7</v>
      </c>
      <c r="AA4" s="216" t="s">
        <v>320</v>
      </c>
      <c r="AB4" s="25" t="s">
        <v>254</v>
      </c>
      <c r="AC4" s="25" t="s">
        <v>321</v>
      </c>
      <c r="AD4" s="322" t="s">
        <v>73</v>
      </c>
      <c r="AE4" s="323">
        <v>515000</v>
      </c>
      <c r="AF4" s="323">
        <v>232880</v>
      </c>
      <c r="AG4" s="31">
        <v>1</v>
      </c>
      <c r="AI4" s="327" t="s">
        <v>322</v>
      </c>
      <c r="AJ4" s="25" t="s">
        <v>257</v>
      </c>
      <c r="AK4" s="322" t="s">
        <v>323</v>
      </c>
      <c r="AL4" s="322" t="s">
        <v>73</v>
      </c>
      <c r="AM4" s="326">
        <v>2579000</v>
      </c>
      <c r="AN4" s="326">
        <v>702500</v>
      </c>
      <c r="AO4" s="29">
        <v>2.2999999999999998</v>
      </c>
      <c r="AQ4" s="124" t="s">
        <v>324</v>
      </c>
      <c r="AR4" s="25" t="s">
        <v>260</v>
      </c>
      <c r="AS4" s="130" t="s">
        <v>325</v>
      </c>
      <c r="AT4" s="322" t="s">
        <v>73</v>
      </c>
      <c r="AU4" s="245">
        <v>1039000</v>
      </c>
      <c r="AV4" s="326">
        <v>313300</v>
      </c>
      <c r="AW4" s="31">
        <v>1.4</v>
      </c>
      <c r="AY4" s="92" t="s">
        <v>326</v>
      </c>
      <c r="AZ4" s="25" t="s">
        <v>263</v>
      </c>
      <c r="BA4" s="25" t="s">
        <v>327</v>
      </c>
      <c r="BB4" s="322" t="s">
        <v>73</v>
      </c>
      <c r="BC4" s="245">
        <v>1915000</v>
      </c>
      <c r="BD4" s="326">
        <v>710880</v>
      </c>
      <c r="BE4" s="31">
        <v>1.4</v>
      </c>
      <c r="BG4" s="54" t="s">
        <v>328</v>
      </c>
      <c r="BH4" s="25" t="s">
        <v>266</v>
      </c>
      <c r="BI4" s="25" t="s">
        <v>329</v>
      </c>
      <c r="BJ4" s="25" t="s">
        <v>69</v>
      </c>
      <c r="BK4" s="225">
        <v>291000</v>
      </c>
      <c r="BL4" s="227">
        <v>105600</v>
      </c>
      <c r="BM4" s="31">
        <v>0.6</v>
      </c>
      <c r="BP4" s="322" t="s">
        <v>268</v>
      </c>
      <c r="BQ4" s="25" t="s">
        <v>330</v>
      </c>
      <c r="BR4" s="25" t="s">
        <v>81</v>
      </c>
      <c r="BS4" s="326">
        <f t="shared" si="0"/>
        <v>79000</v>
      </c>
      <c r="BT4" s="326">
        <v>31600</v>
      </c>
      <c r="BU4" s="31">
        <v>0.52</v>
      </c>
      <c r="BV4" s="255"/>
      <c r="BX4" s="25" t="s">
        <v>270</v>
      </c>
      <c r="BY4" s="25" t="s">
        <v>331</v>
      </c>
      <c r="BZ4" s="25" t="s">
        <v>69</v>
      </c>
      <c r="CA4" s="28">
        <v>141000</v>
      </c>
      <c r="CB4" s="28">
        <f t="shared" ref="CB4:CB14" si="2">CA4*0.48</f>
        <v>67680</v>
      </c>
      <c r="CC4" s="25">
        <v>1.25</v>
      </c>
      <c r="CF4" s="25" t="s">
        <v>272</v>
      </c>
      <c r="CG4" s="25" t="s">
        <v>332</v>
      </c>
      <c r="CH4" s="25" t="s">
        <v>69</v>
      </c>
      <c r="CI4" s="28">
        <v>150000</v>
      </c>
      <c r="CJ4" s="28">
        <v>82000</v>
      </c>
      <c r="CK4" s="25">
        <v>2.5</v>
      </c>
      <c r="CN4" s="25" t="s">
        <v>274</v>
      </c>
      <c r="CO4" s="25" t="s">
        <v>333</v>
      </c>
      <c r="CP4" s="25" t="s">
        <v>69</v>
      </c>
      <c r="CQ4" s="28">
        <v>31000</v>
      </c>
      <c r="CR4" s="28">
        <v>20000</v>
      </c>
      <c r="CS4" s="25">
        <v>0.2</v>
      </c>
      <c r="CV4" s="78" t="s">
        <v>334</v>
      </c>
      <c r="CW4" s="78"/>
      <c r="CX4" s="78"/>
      <c r="CY4" s="96"/>
      <c r="CZ4" s="84"/>
      <c r="DA4" s="89"/>
      <c r="DC4" s="327" t="s">
        <v>335</v>
      </c>
      <c r="DD4" s="322" t="s">
        <v>280</v>
      </c>
      <c r="DE4" s="322" t="s">
        <v>336</v>
      </c>
      <c r="DF4" s="322" t="s">
        <v>53</v>
      </c>
      <c r="DG4" s="326">
        <v>1357000</v>
      </c>
      <c r="DH4" s="326">
        <v>746140</v>
      </c>
      <c r="DI4" s="187">
        <v>2.9</v>
      </c>
      <c r="DL4" s="25" t="s">
        <v>282</v>
      </c>
      <c r="DM4" s="243" t="s">
        <v>337</v>
      </c>
      <c r="DN4" s="243" t="s">
        <v>69</v>
      </c>
      <c r="DO4" s="245">
        <v>3080000</v>
      </c>
      <c r="DP4" s="245">
        <f>ROUNDUP(DO4*0.3,-2)</f>
        <v>924000</v>
      </c>
      <c r="DQ4" s="25">
        <v>0</v>
      </c>
      <c r="DT4" s="25" t="s">
        <v>284</v>
      </c>
      <c r="DU4" s="25" t="s">
        <v>338</v>
      </c>
      <c r="DV4" s="25" t="s">
        <v>286</v>
      </c>
      <c r="DW4" s="73">
        <v>438000</v>
      </c>
      <c r="DX4" s="73">
        <v>240900</v>
      </c>
      <c r="DY4" s="25">
        <v>0.3</v>
      </c>
      <c r="EA4" s="54" t="s">
        <v>339</v>
      </c>
      <c r="EB4" s="25" t="s">
        <v>288</v>
      </c>
      <c r="EC4" s="130" t="s">
        <v>340</v>
      </c>
      <c r="ED4" s="25" t="s">
        <v>290</v>
      </c>
      <c r="EE4" s="245">
        <v>84000</v>
      </c>
      <c r="EF4" s="326">
        <v>26080</v>
      </c>
      <c r="EG4" s="29">
        <v>0.2</v>
      </c>
      <c r="EI4" s="55" t="s">
        <v>341</v>
      </c>
      <c r="EJ4" s="25" t="s">
        <v>292</v>
      </c>
      <c r="EK4" s="130" t="s">
        <v>342</v>
      </c>
      <c r="EL4" s="25" t="s">
        <v>53</v>
      </c>
      <c r="EM4" s="227">
        <v>51300</v>
      </c>
      <c r="EN4" s="326">
        <v>13770</v>
      </c>
      <c r="EO4" s="31">
        <v>0.7</v>
      </c>
      <c r="EQ4" s="137" t="s">
        <v>343</v>
      </c>
      <c r="ER4" s="25" t="s">
        <v>344</v>
      </c>
      <c r="ES4" s="113" t="s">
        <v>345</v>
      </c>
      <c r="ET4" s="25" t="s">
        <v>81</v>
      </c>
      <c r="EU4" s="228">
        <v>9070</v>
      </c>
      <c r="EV4" s="228">
        <v>3990</v>
      </c>
      <c r="EW4" s="29">
        <v>0</v>
      </c>
      <c r="EZ4" s="25" t="s">
        <v>346</v>
      </c>
      <c r="FA4" s="25" t="s">
        <v>347</v>
      </c>
      <c r="FB4" s="25" t="s">
        <v>299</v>
      </c>
      <c r="FC4" s="222">
        <v>2500</v>
      </c>
      <c r="FD4" s="222">
        <f t="shared" ref="FD4:FD55" si="3">FC4*0.65</f>
        <v>1625</v>
      </c>
      <c r="FE4" s="25">
        <v>0.18</v>
      </c>
      <c r="FH4" s="23" t="s">
        <v>348</v>
      </c>
      <c r="FO4" s="249" t="s">
        <v>349</v>
      </c>
      <c r="FP4" s="141" t="s">
        <v>248</v>
      </c>
      <c r="FQ4" s="224" t="s">
        <v>350</v>
      </c>
      <c r="FR4" s="322" t="s">
        <v>73</v>
      </c>
      <c r="FS4" s="244">
        <v>1183000</v>
      </c>
      <c r="FT4" s="330"/>
      <c r="FU4" s="31">
        <v>1.25</v>
      </c>
      <c r="FX4" s="25" t="s">
        <v>304</v>
      </c>
      <c r="FY4" s="25" t="s">
        <v>351</v>
      </c>
      <c r="FZ4" s="25" t="s">
        <v>81</v>
      </c>
      <c r="GA4" s="214">
        <v>22000</v>
      </c>
      <c r="GB4" s="214">
        <v>11000</v>
      </c>
      <c r="GC4" s="25">
        <v>0.15</v>
      </c>
      <c r="GE4" s="249" t="s">
        <v>352</v>
      </c>
      <c r="GF4" s="343" t="s">
        <v>307</v>
      </c>
      <c r="GG4" s="224" t="s">
        <v>353</v>
      </c>
      <c r="GH4" s="322" t="s">
        <v>73</v>
      </c>
      <c r="GI4" s="244">
        <v>1186000</v>
      </c>
      <c r="GJ4" s="323">
        <v>558480</v>
      </c>
      <c r="GK4" s="31">
        <v>1.25</v>
      </c>
      <c r="GM4" s="124" t="s">
        <v>354</v>
      </c>
      <c r="GN4" s="25" t="s">
        <v>310</v>
      </c>
      <c r="GO4" s="67" t="s">
        <v>355</v>
      </c>
      <c r="GP4" s="322" t="s">
        <v>73</v>
      </c>
      <c r="GQ4" s="245">
        <v>788000</v>
      </c>
      <c r="GR4" s="326">
        <v>222040</v>
      </c>
      <c r="GS4" s="142">
        <v>0.9</v>
      </c>
      <c r="GV4" s="25" t="s">
        <v>312</v>
      </c>
      <c r="GW4" s="25" t="s">
        <v>330</v>
      </c>
      <c r="GX4" s="25" t="s">
        <v>81</v>
      </c>
      <c r="GY4" s="326">
        <f t="shared" si="1"/>
        <v>100000</v>
      </c>
      <c r="GZ4" s="326">
        <v>33100</v>
      </c>
      <c r="HA4" s="25">
        <v>0.52</v>
      </c>
      <c r="HC4" s="54"/>
      <c r="HG4" s="61"/>
      <c r="HH4" s="61"/>
    </row>
    <row r="5" spans="2:216">
      <c r="B5" s="25">
        <v>4</v>
      </c>
      <c r="C5" s="25" t="s">
        <v>356</v>
      </c>
      <c r="D5" s="25" t="s">
        <v>357</v>
      </c>
      <c r="E5" s="25" t="s">
        <v>358</v>
      </c>
      <c r="I5" s="27">
        <v>0.15</v>
      </c>
      <c r="K5" s="249" t="s">
        <v>359</v>
      </c>
      <c r="L5" s="25" t="s">
        <v>248</v>
      </c>
      <c r="M5" s="236" t="s">
        <v>360</v>
      </c>
      <c r="N5" s="322" t="s">
        <v>73</v>
      </c>
      <c r="O5" s="244">
        <v>1166000</v>
      </c>
      <c r="P5" s="325">
        <v>595420</v>
      </c>
      <c r="Q5" s="31">
        <v>1.25</v>
      </c>
      <c r="R5" s="72"/>
      <c r="S5" s="249" t="s">
        <v>361</v>
      </c>
      <c r="T5" s="25" t="s">
        <v>251</v>
      </c>
      <c r="U5" s="25" t="s">
        <v>362</v>
      </c>
      <c r="V5" s="322" t="s">
        <v>73</v>
      </c>
      <c r="W5" s="225">
        <v>492000</v>
      </c>
      <c r="X5" s="323">
        <v>165270</v>
      </c>
      <c r="Y5" s="31">
        <v>0.9</v>
      </c>
      <c r="AA5" s="216" t="s">
        <v>363</v>
      </c>
      <c r="AB5" s="25" t="s">
        <v>254</v>
      </c>
      <c r="AC5" s="25" t="s">
        <v>364</v>
      </c>
      <c r="AD5" s="322" t="s">
        <v>73</v>
      </c>
      <c r="AE5" s="323">
        <v>573000</v>
      </c>
      <c r="AF5" s="323">
        <v>235070</v>
      </c>
      <c r="AG5" s="31">
        <v>1</v>
      </c>
      <c r="AI5" s="327" t="s">
        <v>365</v>
      </c>
      <c r="AJ5" s="25" t="s">
        <v>257</v>
      </c>
      <c r="AK5" s="322" t="s">
        <v>366</v>
      </c>
      <c r="AL5" s="322" t="s">
        <v>73</v>
      </c>
      <c r="AM5" s="326">
        <v>2579000</v>
      </c>
      <c r="AN5" s="326">
        <v>702760</v>
      </c>
      <c r="AO5" s="29">
        <v>2.2999999999999998</v>
      </c>
      <c r="AQ5" s="124" t="s">
        <v>367</v>
      </c>
      <c r="AR5" s="25" t="s">
        <v>260</v>
      </c>
      <c r="AS5" s="130" t="s">
        <v>368</v>
      </c>
      <c r="AT5" s="322" t="s">
        <v>73</v>
      </c>
      <c r="AU5" s="245">
        <v>1116000</v>
      </c>
      <c r="AV5" s="326">
        <v>313300</v>
      </c>
      <c r="AW5" s="31">
        <v>1.55</v>
      </c>
      <c r="AZ5" s="23" t="s">
        <v>369</v>
      </c>
      <c r="BG5" s="54" t="s">
        <v>370</v>
      </c>
      <c r="BH5" s="25" t="s">
        <v>266</v>
      </c>
      <c r="BI5" s="25" t="s">
        <v>371</v>
      </c>
      <c r="BJ5" s="25" t="s">
        <v>69</v>
      </c>
      <c r="BK5" s="225">
        <v>385000</v>
      </c>
      <c r="BL5" s="227">
        <v>139200</v>
      </c>
      <c r="BM5" s="31">
        <v>0.7</v>
      </c>
      <c r="BP5" s="322" t="s">
        <v>268</v>
      </c>
      <c r="BQ5" s="25" t="s">
        <v>372</v>
      </c>
      <c r="BR5" s="25" t="s">
        <v>81</v>
      </c>
      <c r="BS5" s="326">
        <f t="shared" si="0"/>
        <v>76000</v>
      </c>
      <c r="BT5" s="326">
        <v>30400</v>
      </c>
      <c r="BU5" s="31">
        <v>0.46</v>
      </c>
      <c r="BV5" s="255"/>
      <c r="BX5" s="25" t="s">
        <v>270</v>
      </c>
      <c r="BY5" s="25" t="s">
        <v>373</v>
      </c>
      <c r="BZ5" s="25" t="s">
        <v>69</v>
      </c>
      <c r="CA5" s="28">
        <v>149000</v>
      </c>
      <c r="CB5" s="28">
        <f t="shared" si="2"/>
        <v>71520</v>
      </c>
      <c r="CC5" s="25">
        <v>1.25</v>
      </c>
      <c r="CF5" s="25" t="s">
        <v>272</v>
      </c>
      <c r="CG5" s="25" t="s">
        <v>374</v>
      </c>
      <c r="CH5" s="25" t="s">
        <v>69</v>
      </c>
      <c r="CI5" s="28">
        <v>175000</v>
      </c>
      <c r="CJ5" s="28">
        <v>96000</v>
      </c>
      <c r="CK5" s="25">
        <v>2.75</v>
      </c>
      <c r="CN5" s="25" t="s">
        <v>274</v>
      </c>
      <c r="CO5" s="25" t="s">
        <v>375</v>
      </c>
      <c r="CP5" s="25" t="s">
        <v>69</v>
      </c>
      <c r="CQ5" s="28">
        <v>46000</v>
      </c>
      <c r="CR5" s="28">
        <v>30000</v>
      </c>
      <c r="CS5" s="25">
        <v>0.3</v>
      </c>
      <c r="CV5" s="123" t="s">
        <v>276</v>
      </c>
      <c r="CW5" s="123" t="s">
        <v>376</v>
      </c>
      <c r="CX5" s="123" t="s">
        <v>278</v>
      </c>
      <c r="CY5" s="252">
        <v>139000</v>
      </c>
      <c r="CZ5" s="253">
        <f t="shared" ref="CZ5:CZ63" si="4">ROUND(CY5*0.53,-1)</f>
        <v>73670</v>
      </c>
      <c r="DA5" s="90">
        <v>0.3</v>
      </c>
      <c r="DC5" s="188"/>
      <c r="DD5" s="186" t="s">
        <v>377</v>
      </c>
      <c r="DE5" s="186"/>
      <c r="DF5" s="25" t="s">
        <v>49</v>
      </c>
      <c r="DG5" s="184">
        <v>150000</v>
      </c>
      <c r="DH5" s="227">
        <v>43450</v>
      </c>
      <c r="DL5" s="25" t="s">
        <v>282</v>
      </c>
      <c r="DM5" s="243" t="s">
        <v>378</v>
      </c>
      <c r="DN5" s="243" t="s">
        <v>69</v>
      </c>
      <c r="DO5" s="245">
        <v>3950000</v>
      </c>
      <c r="DP5" s="245">
        <f t="shared" ref="DP5:DP10" si="5">ROUNDUP(DO5*0.3,-2)</f>
        <v>1185000</v>
      </c>
      <c r="DQ5" s="25">
        <v>0</v>
      </c>
      <c r="DT5" s="25" t="s">
        <v>379</v>
      </c>
      <c r="DU5" s="25" t="s">
        <v>380</v>
      </c>
      <c r="DV5" s="25" t="s">
        <v>286</v>
      </c>
      <c r="DW5" s="73">
        <v>548000</v>
      </c>
      <c r="DX5" s="73">
        <v>301400</v>
      </c>
      <c r="DY5" s="25">
        <v>0.5</v>
      </c>
      <c r="EA5" s="54" t="s">
        <v>381</v>
      </c>
      <c r="EB5" s="25" t="s">
        <v>288</v>
      </c>
      <c r="EC5" s="130" t="s">
        <v>382</v>
      </c>
      <c r="ED5" s="25" t="s">
        <v>290</v>
      </c>
      <c r="EE5" s="227">
        <v>119900</v>
      </c>
      <c r="EF5" s="326">
        <v>52990</v>
      </c>
      <c r="EG5" s="29">
        <v>0.3</v>
      </c>
      <c r="EI5" s="55" t="s">
        <v>383</v>
      </c>
      <c r="EJ5" s="25" t="s">
        <v>292</v>
      </c>
      <c r="EK5" s="130" t="s">
        <v>384</v>
      </c>
      <c r="EL5" s="25" t="s">
        <v>53</v>
      </c>
      <c r="EM5" s="227">
        <v>72800</v>
      </c>
      <c r="EN5" s="326">
        <v>23470</v>
      </c>
      <c r="EO5" s="31">
        <v>0.7</v>
      </c>
      <c r="EQ5" s="137" t="s">
        <v>385</v>
      </c>
      <c r="ER5" s="25" t="s">
        <v>344</v>
      </c>
      <c r="ES5" s="138" t="s">
        <v>386</v>
      </c>
      <c r="ET5" s="25" t="s">
        <v>81</v>
      </c>
      <c r="EU5" s="228">
        <v>12700</v>
      </c>
      <c r="EV5" s="228">
        <v>5586</v>
      </c>
      <c r="EW5" s="29">
        <v>0</v>
      </c>
      <c r="EZ5" s="25" t="s">
        <v>346</v>
      </c>
      <c r="FA5" s="25" t="s">
        <v>387</v>
      </c>
      <c r="FB5" s="25" t="s">
        <v>299</v>
      </c>
      <c r="FC5" s="222">
        <v>2600</v>
      </c>
      <c r="FD5" s="222">
        <f t="shared" si="3"/>
        <v>1690</v>
      </c>
      <c r="FE5" s="25">
        <v>0.18</v>
      </c>
      <c r="FH5" s="25" t="s">
        <v>388</v>
      </c>
      <c r="FI5" s="25" t="s">
        <v>389</v>
      </c>
      <c r="FJ5" s="25" t="s">
        <v>81</v>
      </c>
      <c r="FK5" s="28">
        <v>710</v>
      </c>
      <c r="FL5" s="28">
        <v>426</v>
      </c>
      <c r="FP5" s="23" t="s">
        <v>369</v>
      </c>
      <c r="FS5" s="38"/>
      <c r="FT5" s="38"/>
      <c r="FX5" s="25" t="s">
        <v>304</v>
      </c>
      <c r="FY5" s="25" t="s">
        <v>390</v>
      </c>
      <c r="FZ5" s="25" t="s">
        <v>81</v>
      </c>
      <c r="GA5" s="214">
        <v>20000</v>
      </c>
      <c r="GB5" s="214">
        <v>10000</v>
      </c>
      <c r="GC5" s="25">
        <v>0.12</v>
      </c>
      <c r="GE5" s="249" t="s">
        <v>391</v>
      </c>
      <c r="GF5" s="343" t="s">
        <v>307</v>
      </c>
      <c r="GG5" s="224" t="s">
        <v>392</v>
      </c>
      <c r="GH5" s="322" t="s">
        <v>73</v>
      </c>
      <c r="GI5" s="244">
        <v>1392000</v>
      </c>
      <c r="GJ5" s="323">
        <v>615910</v>
      </c>
      <c r="GK5" s="31">
        <v>1.45</v>
      </c>
      <c r="GM5" s="124" t="s">
        <v>393</v>
      </c>
      <c r="GN5" s="25" t="s">
        <v>310</v>
      </c>
      <c r="GO5" s="67" t="s">
        <v>394</v>
      </c>
      <c r="GP5" s="322" t="s">
        <v>73</v>
      </c>
      <c r="GQ5" s="245">
        <v>886000</v>
      </c>
      <c r="GR5" s="326">
        <v>252490</v>
      </c>
      <c r="GS5" s="142">
        <v>0.7</v>
      </c>
      <c r="GV5" s="25" t="s">
        <v>312</v>
      </c>
      <c r="GW5" s="25" t="s">
        <v>372</v>
      </c>
      <c r="GX5" s="25" t="s">
        <v>81</v>
      </c>
      <c r="GY5" s="326">
        <f t="shared" si="1"/>
        <v>97000</v>
      </c>
      <c r="GZ5" s="326">
        <v>31900</v>
      </c>
      <c r="HA5" s="25">
        <v>0.46</v>
      </c>
      <c r="HC5" s="54"/>
      <c r="HG5" s="61"/>
      <c r="HH5" s="61"/>
    </row>
    <row r="6" spans="2:216">
      <c r="B6" s="25">
        <v>5</v>
      </c>
      <c r="C6" s="25" t="s">
        <v>395</v>
      </c>
      <c r="D6" s="25" t="s">
        <v>396</v>
      </c>
      <c r="E6" s="25" t="s">
        <v>397</v>
      </c>
      <c r="K6" s="238" t="s">
        <v>398</v>
      </c>
      <c r="L6" s="25" t="s">
        <v>248</v>
      </c>
      <c r="M6" s="236" t="s">
        <v>399</v>
      </c>
      <c r="N6" s="322" t="s">
        <v>73</v>
      </c>
      <c r="O6" s="225">
        <v>1129000</v>
      </c>
      <c r="P6" s="323">
        <v>490810</v>
      </c>
      <c r="Q6" s="31">
        <v>1.45</v>
      </c>
      <c r="R6" s="72"/>
      <c r="S6" s="249" t="s">
        <v>400</v>
      </c>
      <c r="T6" s="25" t="s">
        <v>251</v>
      </c>
      <c r="U6" s="25" t="s">
        <v>401</v>
      </c>
      <c r="V6" s="322" t="s">
        <v>73</v>
      </c>
      <c r="W6" s="225">
        <v>542000</v>
      </c>
      <c r="X6" s="323">
        <v>176620</v>
      </c>
      <c r="Y6" s="31">
        <v>0.9</v>
      </c>
      <c r="AB6" s="23" t="s">
        <v>402</v>
      </c>
      <c r="AF6" s="212"/>
      <c r="AG6" s="31"/>
      <c r="AI6" s="327" t="s">
        <v>403</v>
      </c>
      <c r="AJ6" s="25" t="s">
        <v>404</v>
      </c>
      <c r="AK6" s="322" t="s">
        <v>405</v>
      </c>
      <c r="AL6" s="322" t="s">
        <v>73</v>
      </c>
      <c r="AM6" s="326">
        <v>2730000</v>
      </c>
      <c r="AN6" s="326">
        <v>728300</v>
      </c>
      <c r="AO6" s="29">
        <v>2.2999999999999998</v>
      </c>
      <c r="AQ6" s="124" t="s">
        <v>406</v>
      </c>
      <c r="AR6" s="25" t="s">
        <v>260</v>
      </c>
      <c r="AS6" s="130" t="s">
        <v>407</v>
      </c>
      <c r="AT6" s="322" t="s">
        <v>73</v>
      </c>
      <c r="AU6" s="245">
        <v>1185000</v>
      </c>
      <c r="AV6" s="326">
        <v>379920</v>
      </c>
      <c r="AW6" s="31">
        <v>1.65</v>
      </c>
      <c r="AY6" s="92" t="s">
        <v>408</v>
      </c>
      <c r="AZ6" s="25" t="s">
        <v>409</v>
      </c>
      <c r="BA6" s="25" t="s">
        <v>410</v>
      </c>
      <c r="BB6" s="322" t="s">
        <v>73</v>
      </c>
      <c r="BC6" s="326">
        <v>207000</v>
      </c>
      <c r="BD6" s="326">
        <v>77000</v>
      </c>
      <c r="BE6" s="31">
        <v>0.2</v>
      </c>
      <c r="BG6" s="54" t="s">
        <v>411</v>
      </c>
      <c r="BH6" s="25" t="s">
        <v>266</v>
      </c>
      <c r="BI6" s="25" t="s">
        <v>412</v>
      </c>
      <c r="BJ6" s="25" t="s">
        <v>69</v>
      </c>
      <c r="BK6" s="225">
        <v>543000</v>
      </c>
      <c r="BL6" s="227">
        <v>196800</v>
      </c>
      <c r="BM6" s="31">
        <v>0.8</v>
      </c>
      <c r="BP6" s="322" t="s">
        <v>268</v>
      </c>
      <c r="BQ6" s="25" t="s">
        <v>413</v>
      </c>
      <c r="BR6" s="25" t="s">
        <v>81</v>
      </c>
      <c r="BS6" s="326">
        <f t="shared" si="0"/>
        <v>74000</v>
      </c>
      <c r="BT6" s="326">
        <v>29400</v>
      </c>
      <c r="BU6" s="31">
        <v>0.4</v>
      </c>
      <c r="BV6" s="255"/>
      <c r="BX6" s="25" t="s">
        <v>270</v>
      </c>
      <c r="BY6" s="25" t="s">
        <v>414</v>
      </c>
      <c r="BZ6" s="25" t="s">
        <v>69</v>
      </c>
      <c r="CA6" s="28">
        <v>173000</v>
      </c>
      <c r="CB6" s="28">
        <f t="shared" si="2"/>
        <v>83040</v>
      </c>
      <c r="CC6" s="25">
        <v>1.5</v>
      </c>
      <c r="CF6" s="25" t="s">
        <v>272</v>
      </c>
      <c r="CG6" s="25" t="s">
        <v>415</v>
      </c>
      <c r="CH6" s="25" t="s">
        <v>69</v>
      </c>
      <c r="CI6" s="28">
        <v>226000</v>
      </c>
      <c r="CJ6" s="28">
        <v>124000</v>
      </c>
      <c r="CK6" s="25">
        <v>2.75</v>
      </c>
      <c r="CN6" s="25" t="s">
        <v>274</v>
      </c>
      <c r="CO6" s="25" t="s">
        <v>416</v>
      </c>
      <c r="CP6" s="25" t="s">
        <v>69</v>
      </c>
      <c r="CQ6" s="28">
        <v>118000</v>
      </c>
      <c r="CR6" s="28">
        <v>77000</v>
      </c>
      <c r="CS6" s="25">
        <v>0.3</v>
      </c>
      <c r="CV6" s="123" t="s">
        <v>276</v>
      </c>
      <c r="CW6" s="123" t="s">
        <v>417</v>
      </c>
      <c r="CX6" s="123" t="s">
        <v>278</v>
      </c>
      <c r="CY6" s="252">
        <v>169000</v>
      </c>
      <c r="CZ6" s="253">
        <f t="shared" si="4"/>
        <v>89570</v>
      </c>
      <c r="DA6" s="90">
        <v>0.5</v>
      </c>
      <c r="DC6" s="188" t="s">
        <v>418</v>
      </c>
      <c r="DD6" s="186" t="s">
        <v>419</v>
      </c>
      <c r="DE6" s="186"/>
      <c r="DF6" s="25" t="s">
        <v>49</v>
      </c>
      <c r="DG6" s="326">
        <v>170800</v>
      </c>
      <c r="DH6" s="326">
        <v>48200</v>
      </c>
      <c r="DL6" s="25" t="s">
        <v>282</v>
      </c>
      <c r="DM6" s="243" t="s">
        <v>420</v>
      </c>
      <c r="DN6" s="243" t="s">
        <v>69</v>
      </c>
      <c r="DO6" s="245">
        <v>4730000</v>
      </c>
      <c r="DP6" s="245">
        <f t="shared" si="5"/>
        <v>1419000</v>
      </c>
      <c r="DQ6" s="25">
        <v>0</v>
      </c>
      <c r="DT6" s="25" t="s">
        <v>379</v>
      </c>
      <c r="DU6" s="25" t="s">
        <v>421</v>
      </c>
      <c r="DV6" s="25" t="s">
        <v>286</v>
      </c>
      <c r="DW6" s="73">
        <v>733000</v>
      </c>
      <c r="DX6" s="73">
        <v>403200</v>
      </c>
      <c r="DY6" s="25">
        <v>0.5</v>
      </c>
      <c r="EB6" s="25" t="s">
        <v>288</v>
      </c>
      <c r="EC6" s="130" t="s">
        <v>422</v>
      </c>
      <c r="ED6" s="25" t="s">
        <v>290</v>
      </c>
      <c r="EE6" s="231">
        <v>330000</v>
      </c>
      <c r="EF6" s="231">
        <v>139200</v>
      </c>
      <c r="EG6" s="29">
        <v>1</v>
      </c>
      <c r="EI6" s="55" t="s">
        <v>423</v>
      </c>
      <c r="EJ6" s="25" t="s">
        <v>292</v>
      </c>
      <c r="EK6" s="133" t="s">
        <v>424</v>
      </c>
      <c r="EL6" s="25" t="s">
        <v>53</v>
      </c>
      <c r="EM6" s="227">
        <v>65700</v>
      </c>
      <c r="EN6" s="326">
        <v>23160</v>
      </c>
      <c r="EO6" s="31">
        <v>0.5</v>
      </c>
      <c r="EQ6" s="137" t="s">
        <v>425</v>
      </c>
      <c r="ER6" s="25" t="s">
        <v>344</v>
      </c>
      <c r="ES6" s="113" t="s">
        <v>426</v>
      </c>
      <c r="ET6" s="25" t="s">
        <v>81</v>
      </c>
      <c r="EU6" s="228">
        <v>6020</v>
      </c>
      <c r="EV6" s="228">
        <v>2646</v>
      </c>
      <c r="EW6" s="29">
        <v>0</v>
      </c>
      <c r="EZ6" s="25" t="s">
        <v>346</v>
      </c>
      <c r="FA6" s="25" t="s">
        <v>427</v>
      </c>
      <c r="FB6" s="25" t="s">
        <v>299</v>
      </c>
      <c r="FC6" s="222">
        <v>3200</v>
      </c>
      <c r="FD6" s="222">
        <f t="shared" si="3"/>
        <v>2080</v>
      </c>
      <c r="FE6" s="25">
        <v>0.18</v>
      </c>
      <c r="FH6" s="25" t="s">
        <v>428</v>
      </c>
      <c r="FI6" s="25" t="s">
        <v>389</v>
      </c>
      <c r="FJ6" s="25" t="s">
        <v>81</v>
      </c>
      <c r="FK6" s="28">
        <v>4250</v>
      </c>
      <c r="FL6" s="28">
        <v>2550</v>
      </c>
      <c r="FO6" s="249" t="s">
        <v>429</v>
      </c>
      <c r="FP6" s="141" t="s">
        <v>248</v>
      </c>
      <c r="FQ6" s="224" t="s">
        <v>430</v>
      </c>
      <c r="FR6" s="322" t="s">
        <v>73</v>
      </c>
      <c r="FS6" s="244">
        <v>1407000</v>
      </c>
      <c r="FT6" s="330">
        <v>515700</v>
      </c>
      <c r="FU6" s="31">
        <v>1.45</v>
      </c>
      <c r="FX6" s="25" t="s">
        <v>304</v>
      </c>
      <c r="FY6" s="25" t="s">
        <v>431</v>
      </c>
      <c r="FZ6" s="25" t="s">
        <v>81</v>
      </c>
      <c r="GA6" s="214">
        <v>24800</v>
      </c>
      <c r="GB6" s="214">
        <v>12400</v>
      </c>
      <c r="GC6" s="25">
        <v>0.2</v>
      </c>
      <c r="GE6" s="249" t="s">
        <v>432</v>
      </c>
      <c r="GF6" s="343" t="s">
        <v>307</v>
      </c>
      <c r="GG6" s="224" t="s">
        <v>433</v>
      </c>
      <c r="GH6" s="322" t="s">
        <v>73</v>
      </c>
      <c r="GI6" s="244">
        <v>1407000</v>
      </c>
      <c r="GJ6" s="323">
        <v>632630</v>
      </c>
      <c r="GK6" s="31">
        <v>1.45</v>
      </c>
      <c r="GM6" s="124" t="s">
        <v>434</v>
      </c>
      <c r="GN6" s="25" t="s">
        <v>310</v>
      </c>
      <c r="GO6" s="67" t="s">
        <v>435</v>
      </c>
      <c r="GP6" s="322" t="s">
        <v>73</v>
      </c>
      <c r="GQ6" s="245">
        <v>886000</v>
      </c>
      <c r="GR6" s="326">
        <v>249260</v>
      </c>
      <c r="GS6" s="142">
        <v>0.9</v>
      </c>
      <c r="GV6" s="25" t="s">
        <v>312</v>
      </c>
      <c r="GW6" s="25" t="s">
        <v>413</v>
      </c>
      <c r="GX6" s="25" t="s">
        <v>81</v>
      </c>
      <c r="GY6" s="326">
        <f t="shared" si="1"/>
        <v>93000</v>
      </c>
      <c r="GZ6" s="326">
        <v>30700</v>
      </c>
      <c r="HA6" s="25">
        <v>0.4</v>
      </c>
      <c r="HC6" s="54"/>
      <c r="HG6" s="61"/>
      <c r="HH6" s="61"/>
    </row>
    <row r="7" spans="2:216">
      <c r="B7" s="25">
        <v>6</v>
      </c>
      <c r="C7" s="25" t="s">
        <v>436</v>
      </c>
      <c r="D7" s="25" t="s">
        <v>437</v>
      </c>
      <c r="E7" s="25" t="s">
        <v>438</v>
      </c>
      <c r="I7" s="26" t="s">
        <v>439</v>
      </c>
      <c r="K7" s="238" t="s">
        <v>440</v>
      </c>
      <c r="L7" s="25" t="s">
        <v>248</v>
      </c>
      <c r="M7" s="236" t="s">
        <v>441</v>
      </c>
      <c r="N7" s="322" t="s">
        <v>73</v>
      </c>
      <c r="O7" s="225">
        <v>1141000</v>
      </c>
      <c r="P7" s="323">
        <v>509220</v>
      </c>
      <c r="Q7" s="31">
        <v>1.45</v>
      </c>
      <c r="R7" s="72"/>
      <c r="S7" s="249" t="s">
        <v>442</v>
      </c>
      <c r="T7" s="25" t="s">
        <v>251</v>
      </c>
      <c r="U7" s="25" t="s">
        <v>443</v>
      </c>
      <c r="V7" s="322" t="s">
        <v>73</v>
      </c>
      <c r="W7" s="225">
        <v>665000</v>
      </c>
      <c r="X7" s="323">
        <v>251450</v>
      </c>
      <c r="Y7" s="31">
        <v>1</v>
      </c>
      <c r="AA7" s="92" t="s">
        <v>444</v>
      </c>
      <c r="AB7" s="25" t="s">
        <v>436</v>
      </c>
      <c r="AC7" s="25" t="s">
        <v>445</v>
      </c>
      <c r="AD7" s="322" t="s">
        <v>73</v>
      </c>
      <c r="AE7" s="244">
        <v>944000</v>
      </c>
      <c r="AF7" s="323">
        <v>458400</v>
      </c>
      <c r="AG7" s="31">
        <v>1.1499999999999999</v>
      </c>
      <c r="AI7" s="327" t="s">
        <v>446</v>
      </c>
      <c r="AJ7" s="25" t="s">
        <v>404</v>
      </c>
      <c r="AK7" s="322" t="s">
        <v>447</v>
      </c>
      <c r="AL7" s="322" t="s">
        <v>73</v>
      </c>
      <c r="AM7" s="326">
        <v>2730000</v>
      </c>
      <c r="AN7" s="326">
        <v>728170</v>
      </c>
      <c r="AO7" s="29">
        <v>2.2999999999999998</v>
      </c>
      <c r="AQ7" s="124" t="s">
        <v>448</v>
      </c>
      <c r="AR7" s="25" t="s">
        <v>260</v>
      </c>
      <c r="AS7" s="130" t="s">
        <v>449</v>
      </c>
      <c r="AT7" s="322" t="s">
        <v>73</v>
      </c>
      <c r="AU7" s="245">
        <v>1242000</v>
      </c>
      <c r="AV7" s="326">
        <v>382330</v>
      </c>
      <c r="AW7" s="31">
        <v>1.75</v>
      </c>
      <c r="AZ7" s="23" t="s">
        <v>369</v>
      </c>
      <c r="BE7" s="31"/>
      <c r="BG7" s="54" t="s">
        <v>450</v>
      </c>
      <c r="BH7" s="25" t="s">
        <v>266</v>
      </c>
      <c r="BI7" s="25" t="s">
        <v>451</v>
      </c>
      <c r="BJ7" s="25" t="s">
        <v>69</v>
      </c>
      <c r="BK7" s="225">
        <v>676000</v>
      </c>
      <c r="BL7" s="227">
        <v>244800</v>
      </c>
      <c r="BM7" s="31">
        <v>1</v>
      </c>
      <c r="BP7" s="322" t="s">
        <v>268</v>
      </c>
      <c r="BQ7" s="25" t="s">
        <v>452</v>
      </c>
      <c r="BR7" s="25" t="s">
        <v>81</v>
      </c>
      <c r="BS7" s="326">
        <f t="shared" si="0"/>
        <v>73000</v>
      </c>
      <c r="BT7" s="326">
        <v>29000</v>
      </c>
      <c r="BU7" s="31">
        <v>0.36</v>
      </c>
      <c r="BV7" s="255"/>
      <c r="BX7" s="25" t="s">
        <v>270</v>
      </c>
      <c r="BY7" s="25" t="s">
        <v>453</v>
      </c>
      <c r="BZ7" s="25" t="s">
        <v>69</v>
      </c>
      <c r="CA7" s="28">
        <v>210000</v>
      </c>
      <c r="CB7" s="28">
        <f t="shared" si="2"/>
        <v>100800</v>
      </c>
      <c r="CC7" s="25">
        <v>1.5</v>
      </c>
      <c r="CF7" s="25" t="s">
        <v>272</v>
      </c>
      <c r="CG7" s="25" t="s">
        <v>454</v>
      </c>
      <c r="CH7" s="25" t="s">
        <v>69</v>
      </c>
      <c r="CI7" s="28">
        <v>277000</v>
      </c>
      <c r="CJ7" s="28">
        <v>152000</v>
      </c>
      <c r="CK7" s="25">
        <v>3</v>
      </c>
      <c r="CN7" s="25" t="s">
        <v>274</v>
      </c>
      <c r="CO7" s="25" t="s">
        <v>455</v>
      </c>
      <c r="CP7" s="25" t="s">
        <v>69</v>
      </c>
      <c r="CQ7" s="28">
        <v>134000</v>
      </c>
      <c r="CR7" s="28">
        <v>88000</v>
      </c>
      <c r="CS7" s="25">
        <v>0.6</v>
      </c>
      <c r="CV7" s="123" t="s">
        <v>276</v>
      </c>
      <c r="CW7" s="123" t="s">
        <v>456</v>
      </c>
      <c r="CX7" s="123" t="s">
        <v>278</v>
      </c>
      <c r="CY7" s="252">
        <v>225000</v>
      </c>
      <c r="CZ7" s="253">
        <f t="shared" si="4"/>
        <v>119250</v>
      </c>
      <c r="DA7" s="90">
        <v>0.5</v>
      </c>
      <c r="DC7" s="92" t="s">
        <v>457</v>
      </c>
      <c r="DD7" s="25" t="s">
        <v>458</v>
      </c>
      <c r="DE7" s="25" t="s">
        <v>459</v>
      </c>
      <c r="DF7" s="25" t="s">
        <v>460</v>
      </c>
      <c r="DG7" s="245">
        <v>229000</v>
      </c>
      <c r="DH7" s="326">
        <v>52510</v>
      </c>
      <c r="DL7" s="25" t="s">
        <v>282</v>
      </c>
      <c r="DM7" s="243" t="s">
        <v>461</v>
      </c>
      <c r="DN7" s="243" t="s">
        <v>69</v>
      </c>
      <c r="DO7" s="245">
        <v>7130000</v>
      </c>
      <c r="DP7" s="245">
        <f t="shared" si="5"/>
        <v>2139000</v>
      </c>
      <c r="DQ7" s="25">
        <v>0</v>
      </c>
      <c r="DT7" s="25" t="s">
        <v>379</v>
      </c>
      <c r="DU7" s="25" t="s">
        <v>462</v>
      </c>
      <c r="DV7" s="25" t="s">
        <v>286</v>
      </c>
      <c r="DW7" s="73">
        <v>815000</v>
      </c>
      <c r="DX7" s="73">
        <v>448300</v>
      </c>
      <c r="DY7" s="25">
        <v>0.5</v>
      </c>
      <c r="EB7" s="25" t="s">
        <v>288</v>
      </c>
      <c r="EC7" s="130" t="s">
        <v>463</v>
      </c>
      <c r="ED7" s="25" t="s">
        <v>290</v>
      </c>
      <c r="EE7" s="341">
        <v>380000</v>
      </c>
      <c r="EF7" s="341">
        <v>164280</v>
      </c>
      <c r="EG7" s="29">
        <v>1.4</v>
      </c>
      <c r="EI7" s="55" t="s">
        <v>464</v>
      </c>
      <c r="EJ7" s="25" t="s">
        <v>292</v>
      </c>
      <c r="EK7" s="130" t="s">
        <v>465</v>
      </c>
      <c r="EL7" s="25" t="s">
        <v>53</v>
      </c>
      <c r="EM7" s="227">
        <v>60400</v>
      </c>
      <c r="EN7" s="326">
        <v>20760</v>
      </c>
      <c r="EO7" s="31">
        <v>0.5</v>
      </c>
      <c r="EQ7" s="137" t="s">
        <v>466</v>
      </c>
      <c r="ER7" s="25" t="s">
        <v>344</v>
      </c>
      <c r="ES7" s="113" t="s">
        <v>467</v>
      </c>
      <c r="ET7" s="25" t="s">
        <v>81</v>
      </c>
      <c r="EU7" s="225">
        <v>8590</v>
      </c>
      <c r="EV7" s="225">
        <v>3780</v>
      </c>
      <c r="EW7" s="29">
        <v>0</v>
      </c>
      <c r="EZ7" s="25" t="s">
        <v>346</v>
      </c>
      <c r="FA7" s="25" t="s">
        <v>468</v>
      </c>
      <c r="FB7" s="25" t="s">
        <v>299</v>
      </c>
      <c r="FC7" s="222">
        <v>5200</v>
      </c>
      <c r="FD7" s="222">
        <f t="shared" si="3"/>
        <v>3380</v>
      </c>
      <c r="FE7" s="25">
        <v>0.18</v>
      </c>
      <c r="FO7" s="249" t="s">
        <v>469</v>
      </c>
      <c r="FP7" s="141" t="s">
        <v>248</v>
      </c>
      <c r="FQ7" s="224" t="s">
        <v>470</v>
      </c>
      <c r="FR7" s="322" t="s">
        <v>73</v>
      </c>
      <c r="FS7" s="244">
        <v>1422000</v>
      </c>
      <c r="FT7" s="330">
        <v>537350</v>
      </c>
      <c r="FU7" s="31">
        <v>1.45</v>
      </c>
      <c r="FX7" s="25" t="s">
        <v>304</v>
      </c>
      <c r="FY7" s="25" t="s">
        <v>471</v>
      </c>
      <c r="FZ7" s="25" t="s">
        <v>81</v>
      </c>
      <c r="GA7" s="214">
        <v>24800</v>
      </c>
      <c r="GB7" s="214">
        <v>12400</v>
      </c>
      <c r="GC7" s="25">
        <v>0.3</v>
      </c>
      <c r="GE7" s="249" t="s">
        <v>472</v>
      </c>
      <c r="GF7" s="343" t="s">
        <v>307</v>
      </c>
      <c r="GG7" s="224" t="s">
        <v>473</v>
      </c>
      <c r="GH7" s="322" t="s">
        <v>73</v>
      </c>
      <c r="GI7" s="244">
        <v>1357000</v>
      </c>
      <c r="GJ7" s="323">
        <v>628610</v>
      </c>
      <c r="GK7" s="31">
        <v>1.45</v>
      </c>
      <c r="GN7" s="23" t="s">
        <v>369</v>
      </c>
      <c r="GQ7" s="215"/>
      <c r="GR7" s="215"/>
      <c r="GS7" s="31">
        <v>0</v>
      </c>
      <c r="GV7" s="25" t="s">
        <v>312</v>
      </c>
      <c r="GW7" s="25" t="s">
        <v>474</v>
      </c>
      <c r="GX7" s="25" t="s">
        <v>81</v>
      </c>
      <c r="GY7" s="326">
        <f t="shared" si="1"/>
        <v>92000</v>
      </c>
      <c r="GZ7" s="326">
        <v>30200</v>
      </c>
      <c r="HA7" s="25">
        <v>0.36</v>
      </c>
      <c r="HC7" s="54"/>
      <c r="HG7" s="61"/>
      <c r="HH7" s="61"/>
    </row>
    <row r="8" spans="2:216">
      <c r="B8" s="25">
        <v>7</v>
      </c>
      <c r="C8" s="25" t="s">
        <v>404</v>
      </c>
      <c r="D8" s="25" t="s">
        <v>475</v>
      </c>
      <c r="E8" s="25" t="s">
        <v>476</v>
      </c>
      <c r="I8" s="27">
        <v>1.2</v>
      </c>
      <c r="K8" s="238" t="s">
        <v>477</v>
      </c>
      <c r="L8" s="25" t="s">
        <v>248</v>
      </c>
      <c r="M8" s="236" t="s">
        <v>478</v>
      </c>
      <c r="N8" s="322" t="s">
        <v>73</v>
      </c>
      <c r="O8" s="225">
        <v>1092000</v>
      </c>
      <c r="P8" s="323">
        <v>503120</v>
      </c>
      <c r="Q8" s="31">
        <v>1.45</v>
      </c>
      <c r="R8" s="72"/>
      <c r="T8" s="23" t="s">
        <v>369</v>
      </c>
      <c r="V8" s="322"/>
      <c r="AA8" s="92" t="s">
        <v>479</v>
      </c>
      <c r="AB8" s="25" t="s">
        <v>436</v>
      </c>
      <c r="AC8" s="25" t="s">
        <v>480</v>
      </c>
      <c r="AD8" s="322" t="s">
        <v>73</v>
      </c>
      <c r="AE8" s="244">
        <v>1511000</v>
      </c>
      <c r="AF8" s="323">
        <v>619670</v>
      </c>
      <c r="AG8" s="31">
        <v>1.6</v>
      </c>
      <c r="AI8" s="327" t="s">
        <v>481</v>
      </c>
      <c r="AJ8" s="25" t="s">
        <v>404</v>
      </c>
      <c r="AK8" s="322" t="s">
        <v>482</v>
      </c>
      <c r="AL8" s="322" t="s">
        <v>73</v>
      </c>
      <c r="AM8" s="326">
        <v>2730000</v>
      </c>
      <c r="AN8" s="326">
        <v>732690</v>
      </c>
      <c r="AO8" s="29">
        <v>2.2999999999999998</v>
      </c>
      <c r="AQ8" s="124" t="s">
        <v>483</v>
      </c>
      <c r="AR8" s="25" t="s">
        <v>260</v>
      </c>
      <c r="AS8" s="130" t="s">
        <v>484</v>
      </c>
      <c r="AT8" s="322" t="s">
        <v>73</v>
      </c>
      <c r="AU8" s="245">
        <v>1295000</v>
      </c>
      <c r="AV8" s="326">
        <v>399360</v>
      </c>
      <c r="AW8" s="31">
        <v>1.9</v>
      </c>
      <c r="AY8" s="92" t="s">
        <v>485</v>
      </c>
      <c r="AZ8" s="25" t="s">
        <v>486</v>
      </c>
      <c r="BA8" s="25" t="s">
        <v>487</v>
      </c>
      <c r="BB8" s="322" t="s">
        <v>73</v>
      </c>
      <c r="BC8" s="245">
        <v>48000</v>
      </c>
      <c r="BD8" s="326">
        <v>21150</v>
      </c>
      <c r="BE8" s="31">
        <v>0.2</v>
      </c>
      <c r="BG8" s="54" t="s">
        <v>488</v>
      </c>
      <c r="BH8" s="25" t="s">
        <v>266</v>
      </c>
      <c r="BI8" s="25" t="s">
        <v>489</v>
      </c>
      <c r="BJ8" s="25" t="s">
        <v>69</v>
      </c>
      <c r="BK8" s="225">
        <v>1019000</v>
      </c>
      <c r="BL8" s="227">
        <v>369600</v>
      </c>
      <c r="BM8" s="31">
        <v>1</v>
      </c>
      <c r="BP8" s="322" t="s">
        <v>268</v>
      </c>
      <c r="BQ8" s="25" t="s">
        <v>490</v>
      </c>
      <c r="BR8" s="25" t="s">
        <v>81</v>
      </c>
      <c r="BS8" s="326">
        <f t="shared" si="0"/>
        <v>69000</v>
      </c>
      <c r="BT8" s="326">
        <v>27500</v>
      </c>
      <c r="BU8" s="31">
        <v>0.26</v>
      </c>
      <c r="BV8" s="255"/>
      <c r="BX8" s="25" t="s">
        <v>270</v>
      </c>
      <c r="BY8" s="25" t="s">
        <v>491</v>
      </c>
      <c r="BZ8" s="25" t="s">
        <v>69</v>
      </c>
      <c r="CA8" s="28">
        <v>274000</v>
      </c>
      <c r="CB8" s="28">
        <f t="shared" si="2"/>
        <v>131520</v>
      </c>
      <c r="CC8" s="25">
        <v>1.75</v>
      </c>
      <c r="CF8" s="25" t="s">
        <v>272</v>
      </c>
      <c r="CG8" s="25" t="s">
        <v>492</v>
      </c>
      <c r="CH8" s="25" t="s">
        <v>69</v>
      </c>
      <c r="CI8" s="28">
        <v>390000</v>
      </c>
      <c r="CJ8" s="28">
        <v>214000</v>
      </c>
      <c r="CK8" s="25">
        <v>3</v>
      </c>
      <c r="CN8" s="25" t="s">
        <v>274</v>
      </c>
      <c r="CO8" s="25" t="s">
        <v>493</v>
      </c>
      <c r="CP8" s="25" t="s">
        <v>69</v>
      </c>
      <c r="CQ8" s="28">
        <v>190000</v>
      </c>
      <c r="CR8" s="28">
        <v>124000</v>
      </c>
      <c r="CS8" s="25">
        <v>1</v>
      </c>
      <c r="CV8" s="78" t="s">
        <v>334</v>
      </c>
      <c r="CW8" s="78"/>
      <c r="CX8" s="78"/>
      <c r="CY8" s="96"/>
      <c r="CZ8" s="84"/>
      <c r="DA8" s="89"/>
      <c r="DC8" s="92" t="s">
        <v>494</v>
      </c>
      <c r="DD8" s="25" t="s">
        <v>495</v>
      </c>
      <c r="DE8" s="25" t="s">
        <v>496</v>
      </c>
      <c r="DF8" s="25" t="s">
        <v>77</v>
      </c>
      <c r="DG8" s="227">
        <v>101800</v>
      </c>
      <c r="DH8" s="326">
        <v>24770</v>
      </c>
      <c r="DL8" s="25" t="s">
        <v>282</v>
      </c>
      <c r="DM8" s="243" t="s">
        <v>497</v>
      </c>
      <c r="DN8" s="243" t="s">
        <v>69</v>
      </c>
      <c r="DO8" s="245">
        <v>9160000</v>
      </c>
      <c r="DP8" s="245">
        <f t="shared" si="5"/>
        <v>2748000</v>
      </c>
      <c r="DQ8" s="25">
        <v>0</v>
      </c>
      <c r="DT8" s="25" t="s">
        <v>379</v>
      </c>
      <c r="DU8" s="25" t="s">
        <v>498</v>
      </c>
      <c r="DV8" s="25" t="s">
        <v>286</v>
      </c>
      <c r="DW8" s="73">
        <v>1055000</v>
      </c>
      <c r="DX8" s="73">
        <v>580300</v>
      </c>
      <c r="DY8" s="25">
        <v>0.5</v>
      </c>
      <c r="EB8" s="25" t="s">
        <v>288</v>
      </c>
      <c r="EC8" s="25" t="s">
        <v>499</v>
      </c>
      <c r="ED8" s="25" t="s">
        <v>290</v>
      </c>
      <c r="EE8" s="220">
        <v>1448000</v>
      </c>
      <c r="EF8" s="220">
        <v>898000</v>
      </c>
      <c r="EG8" s="29">
        <v>2.4</v>
      </c>
      <c r="EI8" s="55" t="s">
        <v>500</v>
      </c>
      <c r="EJ8" s="25" t="s">
        <v>292</v>
      </c>
      <c r="EK8" s="130" t="s">
        <v>501</v>
      </c>
      <c r="EL8" s="25" t="s">
        <v>53</v>
      </c>
      <c r="EM8" s="227">
        <v>72600</v>
      </c>
      <c r="EN8" s="326">
        <v>23890</v>
      </c>
      <c r="EO8" s="31">
        <v>0.5</v>
      </c>
      <c r="EQ8" s="137" t="s">
        <v>502</v>
      </c>
      <c r="ER8" s="25" t="s">
        <v>295</v>
      </c>
      <c r="ES8" s="113" t="s">
        <v>503</v>
      </c>
      <c r="ET8" s="25" t="s">
        <v>81</v>
      </c>
      <c r="EU8" s="225">
        <v>10500</v>
      </c>
      <c r="EV8" s="225">
        <v>4620</v>
      </c>
      <c r="EW8" s="29">
        <v>0</v>
      </c>
      <c r="EZ8" s="25" t="s">
        <v>346</v>
      </c>
      <c r="FA8" s="25" t="s">
        <v>504</v>
      </c>
      <c r="FB8" s="25" t="s">
        <v>299</v>
      </c>
      <c r="FC8" s="222">
        <v>6300</v>
      </c>
      <c r="FD8" s="222">
        <f t="shared" si="3"/>
        <v>4095</v>
      </c>
      <c r="FE8" s="25">
        <v>0.19</v>
      </c>
      <c r="FO8" s="249" t="s">
        <v>505</v>
      </c>
      <c r="FP8" s="141" t="s">
        <v>248</v>
      </c>
      <c r="FQ8" s="224" t="s">
        <v>506</v>
      </c>
      <c r="FR8" s="322" t="s">
        <v>73</v>
      </c>
      <c r="FS8" s="244">
        <v>1370000</v>
      </c>
      <c r="FT8" s="330"/>
      <c r="FU8" s="31">
        <v>1.45</v>
      </c>
      <c r="FX8" s="25" t="s">
        <v>304</v>
      </c>
      <c r="FY8" s="25" t="s">
        <v>507</v>
      </c>
      <c r="FZ8" s="25" t="s">
        <v>81</v>
      </c>
      <c r="GA8" s="214">
        <v>42000</v>
      </c>
      <c r="GB8" s="214">
        <v>21000</v>
      </c>
      <c r="GC8" s="25">
        <v>0.5</v>
      </c>
      <c r="GE8" s="249" t="s">
        <v>508</v>
      </c>
      <c r="GF8" s="343" t="s">
        <v>307</v>
      </c>
      <c r="GG8" s="224" t="s">
        <v>509</v>
      </c>
      <c r="GH8" s="322" t="s">
        <v>73</v>
      </c>
      <c r="GI8" s="244">
        <v>1696000</v>
      </c>
      <c r="GJ8" s="323">
        <v>718970</v>
      </c>
      <c r="GK8" s="31">
        <v>1.7</v>
      </c>
      <c r="GM8" s="94" t="s">
        <v>510</v>
      </c>
      <c r="GN8" s="25" t="s">
        <v>310</v>
      </c>
      <c r="GO8" s="130" t="s">
        <v>511</v>
      </c>
      <c r="GP8" s="322" t="s">
        <v>73</v>
      </c>
      <c r="GQ8" s="245">
        <v>1477000</v>
      </c>
      <c r="GR8" s="326">
        <v>538650</v>
      </c>
      <c r="GS8" s="142">
        <v>1.5</v>
      </c>
      <c r="GV8" s="25" t="s">
        <v>312</v>
      </c>
      <c r="GW8" s="25" t="s">
        <v>512</v>
      </c>
      <c r="GX8" s="25" t="s">
        <v>81</v>
      </c>
      <c r="GY8" s="326">
        <f t="shared" si="1"/>
        <v>86000</v>
      </c>
      <c r="GZ8" s="326">
        <v>28300</v>
      </c>
      <c r="HA8" s="25">
        <v>0.26</v>
      </c>
      <c r="HC8" s="54"/>
      <c r="HG8" s="61"/>
      <c r="HH8" s="61"/>
    </row>
    <row r="9" spans="2:216">
      <c r="B9" s="25">
        <v>8</v>
      </c>
      <c r="C9" s="25" t="s">
        <v>260</v>
      </c>
      <c r="D9" s="25" t="s">
        <v>513</v>
      </c>
      <c r="E9" s="25" t="s">
        <v>514</v>
      </c>
      <c r="I9" s="27">
        <v>0.11</v>
      </c>
      <c r="K9" s="249" t="s">
        <v>515</v>
      </c>
      <c r="L9" s="25" t="s">
        <v>248</v>
      </c>
      <c r="M9" s="236" t="s">
        <v>516</v>
      </c>
      <c r="N9" s="322" t="s">
        <v>73</v>
      </c>
      <c r="O9" s="244">
        <v>1396000</v>
      </c>
      <c r="P9" s="325">
        <v>610850</v>
      </c>
      <c r="Q9" s="31">
        <v>1.45</v>
      </c>
      <c r="R9" s="72"/>
      <c r="S9" s="249" t="s">
        <v>517</v>
      </c>
      <c r="T9" s="25" t="s">
        <v>251</v>
      </c>
      <c r="U9" s="25" t="s">
        <v>518</v>
      </c>
      <c r="V9" s="322" t="s">
        <v>73</v>
      </c>
      <c r="W9" s="225">
        <v>389000</v>
      </c>
      <c r="X9" s="323">
        <v>170820</v>
      </c>
      <c r="Y9" s="31">
        <v>0.52</v>
      </c>
      <c r="AA9" s="92" t="s">
        <v>519</v>
      </c>
      <c r="AB9" s="25" t="s">
        <v>436</v>
      </c>
      <c r="AC9" s="25" t="s">
        <v>520</v>
      </c>
      <c r="AD9" s="322" t="s">
        <v>73</v>
      </c>
      <c r="AE9" s="244">
        <v>1511000</v>
      </c>
      <c r="AF9" s="323">
        <v>617090</v>
      </c>
      <c r="AG9" s="31">
        <v>1.6</v>
      </c>
      <c r="AJ9" s="23" t="s">
        <v>402</v>
      </c>
      <c r="AN9" s="211"/>
      <c r="AQ9" s="124" t="s">
        <v>521</v>
      </c>
      <c r="AR9" s="25" t="s">
        <v>260</v>
      </c>
      <c r="AS9" s="130" t="s">
        <v>522</v>
      </c>
      <c r="AT9" s="322" t="s">
        <v>73</v>
      </c>
      <c r="AU9" s="245">
        <v>1484000</v>
      </c>
      <c r="AV9" s="326">
        <v>473840</v>
      </c>
      <c r="AW9" s="31">
        <v>2.0499999999999998</v>
      </c>
      <c r="AY9" s="327" t="s">
        <v>523</v>
      </c>
      <c r="AZ9" s="25" t="s">
        <v>486</v>
      </c>
      <c r="BA9" s="25" t="s">
        <v>524</v>
      </c>
      <c r="BB9" s="322" t="s">
        <v>73</v>
      </c>
      <c r="BC9" s="245">
        <v>50000</v>
      </c>
      <c r="BD9" s="326">
        <v>19780</v>
      </c>
      <c r="BE9" s="31">
        <v>0.2</v>
      </c>
      <c r="BG9" s="54" t="s">
        <v>525</v>
      </c>
      <c r="BH9" s="25" t="s">
        <v>266</v>
      </c>
      <c r="BI9" s="25" t="s">
        <v>526</v>
      </c>
      <c r="BJ9" s="25" t="s">
        <v>69</v>
      </c>
      <c r="BK9" s="225">
        <v>1244000</v>
      </c>
      <c r="BL9" s="227">
        <v>451200</v>
      </c>
      <c r="BM9" s="31">
        <v>1</v>
      </c>
      <c r="BP9" s="322" t="s">
        <v>268</v>
      </c>
      <c r="BQ9" s="25" t="s">
        <v>527</v>
      </c>
      <c r="BR9" s="25" t="s">
        <v>81</v>
      </c>
      <c r="BS9" s="326">
        <f t="shared" si="0"/>
        <v>66000</v>
      </c>
      <c r="BT9" s="326">
        <v>26400</v>
      </c>
      <c r="BU9" s="31">
        <v>0.2</v>
      </c>
      <c r="BV9" s="255"/>
      <c r="BX9" s="25" t="s">
        <v>270</v>
      </c>
      <c r="BY9" s="25" t="s">
        <v>528</v>
      </c>
      <c r="BZ9" s="25" t="s">
        <v>69</v>
      </c>
      <c r="CA9" s="28">
        <v>419000</v>
      </c>
      <c r="CB9" s="28">
        <f t="shared" si="2"/>
        <v>201120</v>
      </c>
      <c r="CC9" s="25">
        <v>1.5</v>
      </c>
      <c r="CF9" s="25" t="s">
        <v>272</v>
      </c>
      <c r="CG9" s="25" t="s">
        <v>529</v>
      </c>
      <c r="CH9" s="25" t="s">
        <v>69</v>
      </c>
      <c r="CI9" s="28">
        <v>508000</v>
      </c>
      <c r="CJ9" s="28">
        <v>279000</v>
      </c>
      <c r="CK9" s="25">
        <v>3.5</v>
      </c>
      <c r="CN9" s="25" t="s">
        <v>274</v>
      </c>
      <c r="CO9" s="25" t="s">
        <v>530</v>
      </c>
      <c r="CP9" s="25" t="s">
        <v>69</v>
      </c>
      <c r="CQ9" s="28">
        <v>238000</v>
      </c>
      <c r="CR9" s="28">
        <v>155000</v>
      </c>
      <c r="CS9" s="25">
        <v>1.5</v>
      </c>
      <c r="CV9" s="123" t="s">
        <v>276</v>
      </c>
      <c r="CW9" s="123" t="s">
        <v>531</v>
      </c>
      <c r="CX9" s="123" t="s">
        <v>278</v>
      </c>
      <c r="CY9" s="252">
        <v>161000</v>
      </c>
      <c r="CZ9" s="253">
        <f t="shared" si="4"/>
        <v>85330</v>
      </c>
      <c r="DA9" s="90">
        <v>0.5</v>
      </c>
      <c r="DC9" s="328" t="s">
        <v>532</v>
      </c>
      <c r="DD9" s="322" t="s">
        <v>533</v>
      </c>
      <c r="DE9" s="322"/>
      <c r="DF9" s="25" t="s">
        <v>49</v>
      </c>
      <c r="DG9" s="245">
        <v>33900</v>
      </c>
      <c r="DH9" s="326">
        <v>5140</v>
      </c>
      <c r="DL9" s="25" t="s">
        <v>282</v>
      </c>
      <c r="DM9" s="243" t="s">
        <v>534</v>
      </c>
      <c r="DN9" s="243" t="s">
        <v>69</v>
      </c>
      <c r="DO9" s="245">
        <v>12000000</v>
      </c>
      <c r="DP9" s="245">
        <f t="shared" si="5"/>
        <v>3600000</v>
      </c>
      <c r="DQ9" s="25">
        <v>0</v>
      </c>
      <c r="DT9" s="25" t="s">
        <v>535</v>
      </c>
      <c r="DU9" s="25" t="s">
        <v>536</v>
      </c>
      <c r="DV9" s="25" t="s">
        <v>537</v>
      </c>
      <c r="DW9" s="73">
        <v>84000</v>
      </c>
      <c r="DX9" s="73">
        <v>46200</v>
      </c>
      <c r="DY9" s="25">
        <v>0.3</v>
      </c>
      <c r="EB9" s="25" t="s">
        <v>288</v>
      </c>
      <c r="EC9" s="25" t="s">
        <v>538</v>
      </c>
      <c r="ED9" s="25" t="s">
        <v>290</v>
      </c>
      <c r="EE9" s="220">
        <v>1980000</v>
      </c>
      <c r="EF9" s="220">
        <v>1230000</v>
      </c>
      <c r="EG9" s="29">
        <v>3.5</v>
      </c>
      <c r="EI9" s="55" t="s">
        <v>539</v>
      </c>
      <c r="EJ9" s="25" t="s">
        <v>292</v>
      </c>
      <c r="EK9" s="130" t="s">
        <v>540</v>
      </c>
      <c r="EL9" s="25" t="s">
        <v>53</v>
      </c>
      <c r="EM9" s="227">
        <v>72800</v>
      </c>
      <c r="EN9" s="326">
        <v>23890</v>
      </c>
      <c r="EO9" s="31">
        <v>0.7</v>
      </c>
      <c r="EQ9" s="54" t="s">
        <v>541</v>
      </c>
      <c r="ER9" s="25" t="s">
        <v>542</v>
      </c>
      <c r="ES9" s="113" t="s">
        <v>543</v>
      </c>
      <c r="ET9" s="25" t="s">
        <v>81</v>
      </c>
      <c r="EU9" s="326">
        <v>45300</v>
      </c>
      <c r="EV9" s="326">
        <v>22770</v>
      </c>
      <c r="EW9" s="29">
        <v>0</v>
      </c>
      <c r="EZ9" s="25" t="s">
        <v>346</v>
      </c>
      <c r="FA9" s="25" t="s">
        <v>544</v>
      </c>
      <c r="FB9" s="25" t="s">
        <v>299</v>
      </c>
      <c r="FC9" s="222">
        <v>7900</v>
      </c>
      <c r="FD9" s="222">
        <f t="shared" si="3"/>
        <v>5135</v>
      </c>
      <c r="FE9" s="25">
        <v>0.2</v>
      </c>
      <c r="FP9" s="23" t="s">
        <v>369</v>
      </c>
      <c r="FS9" s="38"/>
      <c r="FT9" s="38"/>
      <c r="GE9" s="249" t="s">
        <v>545</v>
      </c>
      <c r="GF9" s="343" t="s">
        <v>307</v>
      </c>
      <c r="GG9" s="224" t="s">
        <v>546</v>
      </c>
      <c r="GH9" s="322" t="s">
        <v>73</v>
      </c>
      <c r="GI9" s="244">
        <v>1752000</v>
      </c>
      <c r="GJ9" s="323">
        <v>748140</v>
      </c>
      <c r="GK9" s="31">
        <v>1.7</v>
      </c>
      <c r="GM9" s="94" t="s">
        <v>547</v>
      </c>
      <c r="GN9" s="25" t="s">
        <v>310</v>
      </c>
      <c r="GO9" s="130" t="s">
        <v>548</v>
      </c>
      <c r="GP9" s="322" t="s">
        <v>73</v>
      </c>
      <c r="GQ9" s="245">
        <v>1477000</v>
      </c>
      <c r="GR9" s="326">
        <v>591160</v>
      </c>
      <c r="GS9" s="142">
        <v>1.5</v>
      </c>
      <c r="GV9" s="25" t="s">
        <v>312</v>
      </c>
      <c r="GW9" s="25" t="s">
        <v>549</v>
      </c>
      <c r="GX9" s="25" t="s">
        <v>81</v>
      </c>
      <c r="GY9" s="326">
        <f t="shared" si="1"/>
        <v>82000</v>
      </c>
      <c r="GZ9" s="326">
        <v>27100</v>
      </c>
      <c r="HA9" s="25">
        <v>0.2</v>
      </c>
      <c r="HC9" s="54"/>
      <c r="HG9" s="61"/>
      <c r="HH9" s="61"/>
    </row>
    <row r="10" spans="2:216">
      <c r="B10" s="25">
        <v>9</v>
      </c>
      <c r="C10" s="25" t="s">
        <v>241</v>
      </c>
      <c r="D10" s="25" t="s">
        <v>550</v>
      </c>
      <c r="E10" s="26" t="s">
        <v>551</v>
      </c>
      <c r="K10" s="238" t="s">
        <v>552</v>
      </c>
      <c r="L10" s="25" t="s">
        <v>248</v>
      </c>
      <c r="M10" s="236" t="s">
        <v>553</v>
      </c>
      <c r="N10" s="322" t="s">
        <v>73</v>
      </c>
      <c r="O10" s="225">
        <v>1424000</v>
      </c>
      <c r="P10" s="323">
        <v>593740</v>
      </c>
      <c r="Q10" s="31">
        <v>1.7</v>
      </c>
      <c r="R10" s="72"/>
      <c r="S10" s="249" t="s">
        <v>554</v>
      </c>
      <c r="T10" s="25" t="s">
        <v>251</v>
      </c>
      <c r="U10" s="25" t="s">
        <v>555</v>
      </c>
      <c r="V10" s="322" t="s">
        <v>73</v>
      </c>
      <c r="W10" s="225">
        <v>450000</v>
      </c>
      <c r="X10" s="323">
        <v>176880</v>
      </c>
      <c r="Y10" s="31">
        <v>0.7</v>
      </c>
      <c r="AA10" s="92" t="s">
        <v>556</v>
      </c>
      <c r="AB10" s="25" t="s">
        <v>436</v>
      </c>
      <c r="AC10" s="25" t="s">
        <v>557</v>
      </c>
      <c r="AD10" s="322" t="s">
        <v>73</v>
      </c>
      <c r="AE10" s="244">
        <v>2145000</v>
      </c>
      <c r="AF10" s="323">
        <v>761850</v>
      </c>
      <c r="AG10" s="31">
        <v>1.7</v>
      </c>
      <c r="AI10" s="327" t="s">
        <v>558</v>
      </c>
      <c r="AJ10" s="25" t="s">
        <v>404</v>
      </c>
      <c r="AK10" s="322" t="s">
        <v>559</v>
      </c>
      <c r="AL10" s="322" t="s">
        <v>73</v>
      </c>
      <c r="AM10" s="326">
        <v>3494000</v>
      </c>
      <c r="AN10" s="326">
        <v>933310</v>
      </c>
      <c r="AO10" s="29">
        <v>3</v>
      </c>
      <c r="AQ10" s="124" t="s">
        <v>560</v>
      </c>
      <c r="AR10" s="25" t="s">
        <v>260</v>
      </c>
      <c r="AS10" s="130" t="s">
        <v>561</v>
      </c>
      <c r="AT10" s="322" t="s">
        <v>73</v>
      </c>
      <c r="AU10" s="245">
        <v>1729000</v>
      </c>
      <c r="AV10" s="326">
        <v>475170</v>
      </c>
      <c r="AW10" s="31">
        <v>2.2999999999999998</v>
      </c>
      <c r="AY10" s="92" t="s">
        <v>562</v>
      </c>
      <c r="AZ10" s="25" t="s">
        <v>486</v>
      </c>
      <c r="BA10" s="25" t="s">
        <v>563</v>
      </c>
      <c r="BB10" s="322" t="s">
        <v>73</v>
      </c>
      <c r="BC10" s="245">
        <v>55000</v>
      </c>
      <c r="BD10" s="326">
        <v>26720</v>
      </c>
      <c r="BE10" s="31">
        <v>0.2</v>
      </c>
      <c r="BH10" s="23" t="s">
        <v>369</v>
      </c>
      <c r="BP10" s="322" t="s">
        <v>268</v>
      </c>
      <c r="BQ10" s="25" t="s">
        <v>564</v>
      </c>
      <c r="BR10" s="25" t="s">
        <v>81</v>
      </c>
      <c r="BS10" s="326">
        <f t="shared" si="0"/>
        <v>64000</v>
      </c>
      <c r="BT10" s="326">
        <v>25500</v>
      </c>
      <c r="BU10" s="31">
        <v>0.13</v>
      </c>
      <c r="BV10" s="255"/>
      <c r="BX10" s="25" t="s">
        <v>270</v>
      </c>
      <c r="BY10" s="25" t="s">
        <v>565</v>
      </c>
      <c r="BZ10" s="25" t="s">
        <v>69</v>
      </c>
      <c r="CA10" s="28">
        <v>520000</v>
      </c>
      <c r="CB10" s="28">
        <f t="shared" si="2"/>
        <v>249600</v>
      </c>
      <c r="CC10" s="25">
        <v>1.5</v>
      </c>
      <c r="CF10" s="25" t="s">
        <v>272</v>
      </c>
      <c r="CG10" s="25" t="s">
        <v>566</v>
      </c>
      <c r="CH10" s="25" t="s">
        <v>69</v>
      </c>
      <c r="CI10" s="28">
        <v>619000</v>
      </c>
      <c r="CJ10" s="28">
        <v>340000</v>
      </c>
      <c r="CK10" s="25">
        <v>3.5</v>
      </c>
      <c r="CN10" s="25" t="s">
        <v>274</v>
      </c>
      <c r="CO10" s="25" t="s">
        <v>567</v>
      </c>
      <c r="CP10" s="25" t="s">
        <v>69</v>
      </c>
      <c r="CQ10" s="28">
        <v>335000</v>
      </c>
      <c r="CR10" s="28">
        <v>218000</v>
      </c>
      <c r="CS10" s="25">
        <v>2</v>
      </c>
      <c r="CV10" s="123" t="s">
        <v>276</v>
      </c>
      <c r="CW10" s="123" t="s">
        <v>568</v>
      </c>
      <c r="CX10" s="123" t="s">
        <v>278</v>
      </c>
      <c r="CY10" s="252">
        <v>181000</v>
      </c>
      <c r="CZ10" s="253">
        <f t="shared" si="4"/>
        <v>95930</v>
      </c>
      <c r="DA10" s="90">
        <v>0.5</v>
      </c>
      <c r="DC10" s="192"/>
      <c r="DD10" s="32" t="s">
        <v>569</v>
      </c>
      <c r="DE10" s="32"/>
      <c r="DF10" s="32" t="s">
        <v>77</v>
      </c>
      <c r="DG10" s="194">
        <v>15000</v>
      </c>
      <c r="DH10" s="194">
        <v>9010</v>
      </c>
      <c r="DI10" s="142">
        <v>0</v>
      </c>
      <c r="DL10" s="25" t="s">
        <v>282</v>
      </c>
      <c r="DM10" s="243" t="s">
        <v>570</v>
      </c>
      <c r="DN10" s="243" t="s">
        <v>69</v>
      </c>
      <c r="DO10" s="245">
        <v>14420000</v>
      </c>
      <c r="DP10" s="245">
        <f t="shared" si="5"/>
        <v>4326000</v>
      </c>
      <c r="DQ10" s="25">
        <v>0</v>
      </c>
      <c r="DT10" s="25" t="s">
        <v>535</v>
      </c>
      <c r="DU10" s="25" t="s">
        <v>571</v>
      </c>
      <c r="DV10" s="25" t="s">
        <v>537</v>
      </c>
      <c r="DW10" s="73">
        <v>90000</v>
      </c>
      <c r="DX10" s="73">
        <v>49500</v>
      </c>
      <c r="DY10" s="25">
        <v>0.3</v>
      </c>
      <c r="EB10" s="25" t="s">
        <v>288</v>
      </c>
      <c r="EC10" s="25" t="s">
        <v>572</v>
      </c>
      <c r="ED10" s="25" t="s">
        <v>290</v>
      </c>
      <c r="EE10" s="220">
        <v>2470000</v>
      </c>
      <c r="EF10" s="220">
        <v>1530000</v>
      </c>
      <c r="EG10" s="29">
        <v>4.4000000000000004</v>
      </c>
      <c r="EI10" s="55" t="s">
        <v>573</v>
      </c>
      <c r="EJ10" s="25" t="s">
        <v>292</v>
      </c>
      <c r="EK10" s="130" t="s">
        <v>574</v>
      </c>
      <c r="EL10" s="25" t="s">
        <v>53</v>
      </c>
      <c r="EM10" s="227">
        <v>108400</v>
      </c>
      <c r="EN10" s="326">
        <v>37760</v>
      </c>
      <c r="EO10" s="31">
        <v>0.7</v>
      </c>
      <c r="ER10" s="23" t="s">
        <v>369</v>
      </c>
      <c r="EZ10" s="25" t="s">
        <v>346</v>
      </c>
      <c r="FA10" s="25" t="s">
        <v>575</v>
      </c>
      <c r="FB10" s="25" t="s">
        <v>299</v>
      </c>
      <c r="FC10" s="222">
        <v>8700</v>
      </c>
      <c r="FD10" s="222">
        <f t="shared" si="3"/>
        <v>5655</v>
      </c>
      <c r="FE10" s="25">
        <v>0.2</v>
      </c>
      <c r="FO10" s="249" t="s">
        <v>576</v>
      </c>
      <c r="FP10" s="141" t="s">
        <v>248</v>
      </c>
      <c r="FQ10" s="224" t="s">
        <v>577</v>
      </c>
      <c r="FR10" s="322" t="s">
        <v>73</v>
      </c>
      <c r="FS10" s="244">
        <v>1899000</v>
      </c>
      <c r="FT10" s="330">
        <v>619800</v>
      </c>
      <c r="FU10" s="31">
        <v>1.7</v>
      </c>
      <c r="GE10" s="249" t="s">
        <v>578</v>
      </c>
      <c r="GF10" s="343" t="s">
        <v>307</v>
      </c>
      <c r="GG10" s="224" t="s">
        <v>579</v>
      </c>
      <c r="GH10" s="322" t="s">
        <v>73</v>
      </c>
      <c r="GI10" s="244">
        <v>1655000</v>
      </c>
      <c r="GJ10" s="323">
        <v>730900</v>
      </c>
      <c r="GK10" s="31">
        <v>1.7</v>
      </c>
      <c r="GM10" s="94" t="s">
        <v>580</v>
      </c>
      <c r="GN10" s="25" t="s">
        <v>310</v>
      </c>
      <c r="GO10" s="130" t="s">
        <v>581</v>
      </c>
      <c r="GP10" s="322" t="s">
        <v>73</v>
      </c>
      <c r="GQ10" s="245">
        <v>1911000</v>
      </c>
      <c r="GR10" s="326">
        <v>725980</v>
      </c>
      <c r="GS10" s="142">
        <v>2</v>
      </c>
      <c r="GV10" s="25" t="s">
        <v>312</v>
      </c>
      <c r="GW10" s="25" t="s">
        <v>582</v>
      </c>
      <c r="GX10" s="25" t="s">
        <v>81</v>
      </c>
      <c r="GY10" s="326">
        <f t="shared" si="1"/>
        <v>78000</v>
      </c>
      <c r="GZ10" s="326">
        <v>25900</v>
      </c>
      <c r="HA10" s="25">
        <v>0.13</v>
      </c>
      <c r="HC10" s="54"/>
      <c r="HG10" s="61"/>
      <c r="HH10" s="61"/>
    </row>
    <row r="11" spans="2:216">
      <c r="B11" s="25">
        <v>10</v>
      </c>
      <c r="C11" s="25" t="s">
        <v>583</v>
      </c>
      <c r="D11" s="25" t="s">
        <v>584</v>
      </c>
      <c r="E11" s="23" t="s">
        <v>585</v>
      </c>
      <c r="K11" s="238" t="s">
        <v>586</v>
      </c>
      <c r="L11" s="25" t="s">
        <v>248</v>
      </c>
      <c r="M11" s="236" t="s">
        <v>587</v>
      </c>
      <c r="N11" s="322" t="s">
        <v>73</v>
      </c>
      <c r="O11" s="225">
        <v>1478000</v>
      </c>
      <c r="P11" s="323">
        <v>620960</v>
      </c>
      <c r="Q11" s="31">
        <v>1.7</v>
      </c>
      <c r="R11" s="72"/>
      <c r="S11" s="249" t="s">
        <v>588</v>
      </c>
      <c r="T11" s="25" t="s">
        <v>251</v>
      </c>
      <c r="U11" s="25" t="s">
        <v>589</v>
      </c>
      <c r="V11" s="322" t="s">
        <v>73</v>
      </c>
      <c r="W11" s="225">
        <v>545000</v>
      </c>
      <c r="X11" s="323">
        <v>215850</v>
      </c>
      <c r="Y11" s="31">
        <v>0.9</v>
      </c>
      <c r="AA11" s="92" t="s">
        <v>590</v>
      </c>
      <c r="AB11" s="25" t="s">
        <v>436</v>
      </c>
      <c r="AC11" s="25" t="s">
        <v>591</v>
      </c>
      <c r="AD11" s="322" t="s">
        <v>73</v>
      </c>
      <c r="AE11" s="244">
        <v>2735000</v>
      </c>
      <c r="AF11" s="323">
        <v>975890</v>
      </c>
      <c r="AG11" s="31">
        <v>2.75</v>
      </c>
      <c r="AI11" s="327" t="s">
        <v>592</v>
      </c>
      <c r="AJ11" s="25" t="s">
        <v>404</v>
      </c>
      <c r="AK11" s="322" t="s">
        <v>593</v>
      </c>
      <c r="AL11" s="322" t="s">
        <v>73</v>
      </c>
      <c r="AM11" s="326">
        <v>3494000</v>
      </c>
      <c r="AN11" s="326">
        <v>931760</v>
      </c>
      <c r="AO11" s="29">
        <v>3</v>
      </c>
      <c r="AQ11" s="124" t="s">
        <v>594</v>
      </c>
      <c r="AR11" s="25" t="s">
        <v>260</v>
      </c>
      <c r="AS11" s="130" t="s">
        <v>595</v>
      </c>
      <c r="AT11" s="322" t="s">
        <v>73</v>
      </c>
      <c r="AU11" s="245">
        <v>1900000</v>
      </c>
      <c r="AV11" s="326">
        <v>504250</v>
      </c>
      <c r="AW11" s="31">
        <v>2.6</v>
      </c>
      <c r="AY11" s="92" t="s">
        <v>596</v>
      </c>
      <c r="AZ11" s="25" t="s">
        <v>597</v>
      </c>
      <c r="BA11" s="25" t="s">
        <v>598</v>
      </c>
      <c r="BB11" s="322" t="s">
        <v>73</v>
      </c>
      <c r="BC11" s="245">
        <v>111000</v>
      </c>
      <c r="BD11" s="326">
        <v>43040</v>
      </c>
      <c r="BE11" s="31"/>
      <c r="BG11" s="54" t="s">
        <v>599</v>
      </c>
      <c r="BH11" s="25" t="s">
        <v>266</v>
      </c>
      <c r="BI11" s="25" t="s">
        <v>600</v>
      </c>
      <c r="BJ11" s="25" t="s">
        <v>69</v>
      </c>
      <c r="BK11" s="225">
        <v>358000</v>
      </c>
      <c r="BL11" s="227">
        <v>129600</v>
      </c>
      <c r="BM11" s="31">
        <v>1</v>
      </c>
      <c r="BP11" s="23" t="s">
        <v>369</v>
      </c>
      <c r="BV11" s="255"/>
      <c r="BX11" s="25" t="s">
        <v>270</v>
      </c>
      <c r="BY11" s="25" t="s">
        <v>601</v>
      </c>
      <c r="BZ11" s="25" t="s">
        <v>69</v>
      </c>
      <c r="CA11" s="28">
        <v>620000</v>
      </c>
      <c r="CB11" s="28">
        <f t="shared" si="2"/>
        <v>297600</v>
      </c>
      <c r="CC11" s="25">
        <v>2</v>
      </c>
      <c r="CF11" s="25" t="s">
        <v>272</v>
      </c>
      <c r="CG11" s="25" t="s">
        <v>602</v>
      </c>
      <c r="CH11" s="25" t="s">
        <v>69</v>
      </c>
      <c r="CI11" s="28">
        <v>746000</v>
      </c>
      <c r="CJ11" s="28">
        <v>410000</v>
      </c>
      <c r="CK11" s="25">
        <v>3.5</v>
      </c>
      <c r="CV11" s="123" t="s">
        <v>276</v>
      </c>
      <c r="CW11" s="123" t="s">
        <v>603</v>
      </c>
      <c r="CX11" s="123" t="s">
        <v>278</v>
      </c>
      <c r="CY11" s="252">
        <v>220000</v>
      </c>
      <c r="CZ11" s="253">
        <f t="shared" si="4"/>
        <v>116600</v>
      </c>
      <c r="DA11" s="90">
        <v>0.5</v>
      </c>
      <c r="DD11" s="23" t="s">
        <v>369</v>
      </c>
      <c r="DL11" s="23" t="s">
        <v>369</v>
      </c>
      <c r="DT11" s="25" t="s">
        <v>535</v>
      </c>
      <c r="DU11" s="25" t="s">
        <v>604</v>
      </c>
      <c r="DV11" s="25" t="s">
        <v>537</v>
      </c>
      <c r="DW11" s="73">
        <v>102000</v>
      </c>
      <c r="DX11" s="73">
        <v>56100</v>
      </c>
      <c r="DY11" s="25">
        <v>0.3</v>
      </c>
      <c r="EB11" s="25" t="s">
        <v>288</v>
      </c>
      <c r="EC11" s="25" t="s">
        <v>605</v>
      </c>
      <c r="ED11" s="25" t="s">
        <v>290</v>
      </c>
      <c r="EE11" s="220">
        <v>2600000</v>
      </c>
      <c r="EF11" s="220">
        <v>1613000</v>
      </c>
      <c r="EG11" s="29">
        <v>5.0999999999999996</v>
      </c>
      <c r="EJ11" s="25" t="s">
        <v>292</v>
      </c>
      <c r="EK11" s="224" t="s">
        <v>606</v>
      </c>
      <c r="EL11" s="25" t="s">
        <v>53</v>
      </c>
      <c r="EM11" s="227">
        <v>219900</v>
      </c>
      <c r="EN11" s="227">
        <v>109950</v>
      </c>
      <c r="EO11" s="31">
        <v>1.5</v>
      </c>
      <c r="EQ11" s="54" t="s">
        <v>607</v>
      </c>
      <c r="ER11" s="25" t="s">
        <v>608</v>
      </c>
      <c r="ES11" s="25" t="s">
        <v>609</v>
      </c>
      <c r="ET11" s="25" t="s">
        <v>81</v>
      </c>
      <c r="EU11" s="326">
        <v>20400</v>
      </c>
      <c r="EV11" s="326">
        <v>9950</v>
      </c>
      <c r="EW11" s="31">
        <v>0</v>
      </c>
      <c r="EZ11" s="25" t="s">
        <v>346</v>
      </c>
      <c r="FA11" s="25" t="s">
        <v>610</v>
      </c>
      <c r="FB11" s="25" t="s">
        <v>299</v>
      </c>
      <c r="FC11" s="222">
        <v>9500</v>
      </c>
      <c r="FD11" s="222">
        <f t="shared" si="3"/>
        <v>6175</v>
      </c>
      <c r="FE11" s="25">
        <v>0.24</v>
      </c>
      <c r="FO11" s="249" t="s">
        <v>611</v>
      </c>
      <c r="FP11" s="141" t="s">
        <v>248</v>
      </c>
      <c r="FQ11" s="224" t="s">
        <v>612</v>
      </c>
      <c r="FR11" s="322" t="s">
        <v>73</v>
      </c>
      <c r="FS11" s="244">
        <v>1956000</v>
      </c>
      <c r="FT11" s="330">
        <v>650910</v>
      </c>
      <c r="FU11" s="31">
        <v>1.7</v>
      </c>
      <c r="GE11" s="249" t="s">
        <v>613</v>
      </c>
      <c r="GF11" s="343" t="s">
        <v>307</v>
      </c>
      <c r="GG11" s="224" t="s">
        <v>614</v>
      </c>
      <c r="GH11" s="322" t="s">
        <v>73</v>
      </c>
      <c r="GI11" s="244">
        <v>1902000</v>
      </c>
      <c r="GJ11" s="323">
        <v>856000</v>
      </c>
      <c r="GK11" s="31">
        <v>2</v>
      </c>
      <c r="GM11" s="94" t="s">
        <v>615</v>
      </c>
      <c r="GN11" s="25" t="s">
        <v>310</v>
      </c>
      <c r="GO11" s="130" t="s">
        <v>616</v>
      </c>
      <c r="GP11" s="322" t="s">
        <v>73</v>
      </c>
      <c r="GQ11" s="245">
        <v>1911000</v>
      </c>
      <c r="GR11" s="326">
        <v>737980</v>
      </c>
      <c r="GS11" s="142">
        <v>2</v>
      </c>
      <c r="GV11" s="23" t="s">
        <v>369</v>
      </c>
      <c r="HC11" s="54"/>
      <c r="HG11" s="61"/>
      <c r="HH11" s="61"/>
    </row>
    <row r="12" spans="2:216">
      <c r="B12" s="25">
        <v>11</v>
      </c>
      <c r="C12" s="25" t="s">
        <v>236</v>
      </c>
      <c r="D12" s="25" t="s">
        <v>617</v>
      </c>
      <c r="E12" s="26" t="s">
        <v>618</v>
      </c>
      <c r="K12" s="238" t="s">
        <v>619</v>
      </c>
      <c r="L12" s="25" t="s">
        <v>248</v>
      </c>
      <c r="M12" s="236" t="s">
        <v>620</v>
      </c>
      <c r="N12" s="322" t="s">
        <v>73</v>
      </c>
      <c r="O12" s="225">
        <v>1386000</v>
      </c>
      <c r="P12" s="323">
        <v>603330</v>
      </c>
      <c r="Q12" s="31">
        <v>1.7</v>
      </c>
      <c r="R12" s="72"/>
      <c r="S12" s="249" t="s">
        <v>621</v>
      </c>
      <c r="T12" s="25" t="s">
        <v>251</v>
      </c>
      <c r="U12" s="25" t="s">
        <v>622</v>
      </c>
      <c r="V12" s="322" t="s">
        <v>73</v>
      </c>
      <c r="W12" s="225">
        <v>596000</v>
      </c>
      <c r="X12" s="323">
        <v>228490</v>
      </c>
      <c r="Y12" s="31">
        <v>0.9</v>
      </c>
      <c r="AA12" s="92" t="s">
        <v>623</v>
      </c>
      <c r="AB12" s="25" t="s">
        <v>436</v>
      </c>
      <c r="AC12" s="25" t="s">
        <v>624</v>
      </c>
      <c r="AD12" s="322" t="s">
        <v>73</v>
      </c>
      <c r="AE12" s="244">
        <v>3278000</v>
      </c>
      <c r="AF12" s="323">
        <v>1208630</v>
      </c>
      <c r="AG12" s="31">
        <v>3.4</v>
      </c>
      <c r="AI12" s="327" t="s">
        <v>625</v>
      </c>
      <c r="AJ12" s="25" t="s">
        <v>404</v>
      </c>
      <c r="AK12" s="322" t="s">
        <v>626</v>
      </c>
      <c r="AL12" s="322" t="s">
        <v>73</v>
      </c>
      <c r="AM12" s="326">
        <v>3494000</v>
      </c>
      <c r="AN12" s="326">
        <v>933310</v>
      </c>
      <c r="AO12" s="29">
        <v>3</v>
      </c>
      <c r="AQ12" s="124" t="s">
        <v>627</v>
      </c>
      <c r="AR12" s="25" t="s">
        <v>260</v>
      </c>
      <c r="AS12" s="130" t="s">
        <v>628</v>
      </c>
      <c r="AT12" s="322" t="s">
        <v>73</v>
      </c>
      <c r="AU12" s="245">
        <v>2032000</v>
      </c>
      <c r="AV12" s="326">
        <v>499220</v>
      </c>
      <c r="AW12" s="31">
        <v>2.75</v>
      </c>
      <c r="AZ12" s="23" t="s">
        <v>369</v>
      </c>
      <c r="BG12" s="54" t="s">
        <v>629</v>
      </c>
      <c r="BH12" s="25" t="s">
        <v>266</v>
      </c>
      <c r="BI12" s="25" t="s">
        <v>630</v>
      </c>
      <c r="BJ12" s="25" t="s">
        <v>69</v>
      </c>
      <c r="BK12" s="225">
        <v>450000</v>
      </c>
      <c r="BL12" s="227">
        <v>163200</v>
      </c>
      <c r="BM12" s="31">
        <v>1</v>
      </c>
      <c r="BP12" s="322" t="s">
        <v>268</v>
      </c>
      <c r="BQ12" s="25" t="s">
        <v>631</v>
      </c>
      <c r="BR12" s="25" t="s">
        <v>81</v>
      </c>
      <c r="BS12" s="326">
        <f t="shared" ref="BS12:BS19" si="6">ROUND(BT12/0.4,-3)</f>
        <v>93000</v>
      </c>
      <c r="BT12" s="326">
        <v>37000</v>
      </c>
      <c r="BU12" s="31">
        <v>0.72</v>
      </c>
      <c r="BV12" s="255"/>
      <c r="BX12" s="25" t="s">
        <v>270</v>
      </c>
      <c r="BY12" s="25" t="s">
        <v>632</v>
      </c>
      <c r="BZ12" s="25" t="s">
        <v>69</v>
      </c>
      <c r="CA12" s="28">
        <v>715000</v>
      </c>
      <c r="CB12" s="28">
        <f t="shared" si="2"/>
        <v>343200</v>
      </c>
      <c r="CC12" s="25">
        <v>2</v>
      </c>
      <c r="CF12" s="25" t="s">
        <v>272</v>
      </c>
      <c r="CG12" s="25" t="s">
        <v>633</v>
      </c>
      <c r="CH12" s="25" t="s">
        <v>69</v>
      </c>
      <c r="CI12" s="28">
        <v>997000</v>
      </c>
      <c r="CJ12" s="28">
        <v>548000</v>
      </c>
      <c r="CK12" s="25">
        <v>3.5</v>
      </c>
      <c r="CV12" s="123" t="s">
        <v>276</v>
      </c>
      <c r="CW12" s="123" t="s">
        <v>634</v>
      </c>
      <c r="CX12" s="123" t="s">
        <v>278</v>
      </c>
      <c r="CY12" s="252">
        <v>294000</v>
      </c>
      <c r="CZ12" s="253">
        <f t="shared" si="4"/>
        <v>155820</v>
      </c>
      <c r="DA12" s="90">
        <v>0.6</v>
      </c>
      <c r="DC12" s="249" t="s">
        <v>635</v>
      </c>
      <c r="DD12" s="25" t="s">
        <v>636</v>
      </c>
      <c r="DE12" s="25" t="s">
        <v>637</v>
      </c>
      <c r="DF12" s="322" t="s">
        <v>53</v>
      </c>
      <c r="DG12" s="323">
        <v>597000</v>
      </c>
      <c r="DH12" s="326" t="s">
        <v>638</v>
      </c>
      <c r="DI12" s="50">
        <v>1.6</v>
      </c>
      <c r="DL12" s="25" t="s">
        <v>639</v>
      </c>
      <c r="DM12" s="243" t="s">
        <v>640</v>
      </c>
      <c r="DN12" s="243" t="s">
        <v>69</v>
      </c>
      <c r="DO12" s="245">
        <v>3820000</v>
      </c>
      <c r="DP12" s="245">
        <f>ROUNDUP(DO12*0.3,-2)</f>
        <v>1146000</v>
      </c>
      <c r="DQ12" s="25">
        <v>0</v>
      </c>
      <c r="DT12" s="25" t="s">
        <v>535</v>
      </c>
      <c r="DU12" s="25" t="s">
        <v>641</v>
      </c>
      <c r="DV12" s="25" t="s">
        <v>537</v>
      </c>
      <c r="DW12" s="73">
        <v>113000</v>
      </c>
      <c r="DX12" s="73">
        <v>62200</v>
      </c>
      <c r="DY12" s="25">
        <v>0.5</v>
      </c>
      <c r="EB12" s="23" t="s">
        <v>369</v>
      </c>
      <c r="EJ12" s="25" t="s">
        <v>292</v>
      </c>
      <c r="EK12" s="224" t="s">
        <v>642</v>
      </c>
      <c r="EL12" s="25" t="s">
        <v>53</v>
      </c>
      <c r="EM12" s="231">
        <v>301000</v>
      </c>
      <c r="EN12" s="231">
        <v>150500</v>
      </c>
      <c r="EO12" s="31">
        <v>1.5</v>
      </c>
      <c r="EQ12" s="54" t="s">
        <v>643</v>
      </c>
      <c r="ER12" s="25" t="s">
        <v>608</v>
      </c>
      <c r="ES12" s="25" t="s">
        <v>345</v>
      </c>
      <c r="ET12" s="25" t="s">
        <v>81</v>
      </c>
      <c r="EU12" s="326">
        <v>22800</v>
      </c>
      <c r="EV12" s="326">
        <v>11350</v>
      </c>
      <c r="EW12" s="31">
        <v>0</v>
      </c>
      <c r="EZ12" s="25" t="s">
        <v>644</v>
      </c>
      <c r="FA12" s="25" t="s">
        <v>298</v>
      </c>
      <c r="FB12" s="25" t="s">
        <v>299</v>
      </c>
      <c r="FC12" s="222">
        <v>15600</v>
      </c>
      <c r="FD12" s="222">
        <f t="shared" si="3"/>
        <v>10140</v>
      </c>
      <c r="FE12" s="25">
        <v>0.16</v>
      </c>
      <c r="FO12" s="249" t="s">
        <v>645</v>
      </c>
      <c r="FP12" s="141" t="s">
        <v>248</v>
      </c>
      <c r="FQ12" s="224" t="s">
        <v>646</v>
      </c>
      <c r="FR12" s="322" t="s">
        <v>73</v>
      </c>
      <c r="FS12" s="244">
        <v>1856000</v>
      </c>
      <c r="FT12" s="330"/>
      <c r="FU12" s="31">
        <v>1.7</v>
      </c>
      <c r="GE12" s="249" t="s">
        <v>647</v>
      </c>
      <c r="GF12" s="343" t="s">
        <v>307</v>
      </c>
      <c r="GG12" s="224" t="s">
        <v>648</v>
      </c>
      <c r="GH12" s="322" t="s">
        <v>73</v>
      </c>
      <c r="GI12" s="244">
        <v>1972000</v>
      </c>
      <c r="GJ12" s="323">
        <v>906810</v>
      </c>
      <c r="GK12" s="31">
        <v>2</v>
      </c>
      <c r="GN12" s="23" t="s">
        <v>369</v>
      </c>
      <c r="GS12" s="31"/>
      <c r="GV12" s="25" t="s">
        <v>242</v>
      </c>
      <c r="GW12" s="25" t="s">
        <v>649</v>
      </c>
      <c r="GX12" s="25" t="s">
        <v>81</v>
      </c>
      <c r="GY12" s="326">
        <f t="shared" ref="GY12:GY19" si="7">ROUND(GZ12/0.33,-3)</f>
        <v>119000</v>
      </c>
      <c r="GZ12" s="326">
        <v>39300</v>
      </c>
      <c r="HA12" s="31">
        <v>0.72</v>
      </c>
      <c r="HC12" s="54"/>
      <c r="HG12" s="61"/>
      <c r="HH12" s="61"/>
    </row>
    <row r="13" spans="2:216">
      <c r="B13" s="25">
        <v>12</v>
      </c>
      <c r="C13" s="25" t="s">
        <v>650</v>
      </c>
      <c r="D13" s="25" t="s">
        <v>651</v>
      </c>
      <c r="E13" s="25" t="s">
        <v>652</v>
      </c>
      <c r="K13" s="249" t="s">
        <v>653</v>
      </c>
      <c r="L13" s="25" t="s">
        <v>248</v>
      </c>
      <c r="M13" s="236" t="s">
        <v>654</v>
      </c>
      <c r="N13" s="322" t="s">
        <v>73</v>
      </c>
      <c r="O13" s="244">
        <v>1746000</v>
      </c>
      <c r="P13" s="325">
        <v>752030</v>
      </c>
      <c r="Q13" s="31">
        <v>1.7</v>
      </c>
      <c r="R13" s="72"/>
      <c r="S13" s="249" t="s">
        <v>655</v>
      </c>
      <c r="T13" s="25" t="s">
        <v>251</v>
      </c>
      <c r="U13" s="25" t="s">
        <v>656</v>
      </c>
      <c r="V13" s="322" t="s">
        <v>73</v>
      </c>
      <c r="W13" s="225">
        <v>692000</v>
      </c>
      <c r="X13" s="323">
        <v>259200</v>
      </c>
      <c r="Y13" s="31">
        <v>1</v>
      </c>
      <c r="AA13" s="92" t="s">
        <v>657</v>
      </c>
      <c r="AB13" s="25" t="s">
        <v>436</v>
      </c>
      <c r="AC13" s="25" t="s">
        <v>658</v>
      </c>
      <c r="AD13" s="322" t="s">
        <v>73</v>
      </c>
      <c r="AE13" s="244">
        <v>3581000</v>
      </c>
      <c r="AF13" s="323">
        <v>1317910</v>
      </c>
      <c r="AG13" s="31">
        <v>4</v>
      </c>
      <c r="AI13" s="196" t="s">
        <v>659</v>
      </c>
      <c r="AJ13" s="25" t="s">
        <v>404</v>
      </c>
      <c r="AK13" s="32" t="s">
        <v>660</v>
      </c>
      <c r="AL13" s="322" t="s">
        <v>73</v>
      </c>
      <c r="AM13" s="326">
        <v>3736000</v>
      </c>
      <c r="AN13" s="326">
        <v>985820</v>
      </c>
      <c r="AO13" s="57">
        <v>3</v>
      </c>
      <c r="AR13" s="23" t="s">
        <v>369</v>
      </c>
      <c r="AW13" s="31"/>
      <c r="AY13" s="92" t="s">
        <v>661</v>
      </c>
      <c r="AZ13" s="25" t="s">
        <v>662</v>
      </c>
      <c r="BA13" s="25" t="s">
        <v>663</v>
      </c>
      <c r="BB13" s="322" t="s">
        <v>73</v>
      </c>
      <c r="BC13" s="245">
        <v>221000</v>
      </c>
      <c r="BD13" s="326">
        <v>76770</v>
      </c>
      <c r="BE13" s="131">
        <v>0.5</v>
      </c>
      <c r="BG13" s="54" t="s">
        <v>664</v>
      </c>
      <c r="BH13" s="25" t="s">
        <v>266</v>
      </c>
      <c r="BI13" s="25" t="s">
        <v>665</v>
      </c>
      <c r="BJ13" s="25" t="s">
        <v>69</v>
      </c>
      <c r="BK13" s="225">
        <v>623000</v>
      </c>
      <c r="BL13" s="227">
        <v>225600</v>
      </c>
      <c r="BM13" s="31">
        <v>1.2</v>
      </c>
      <c r="BP13" s="322" t="s">
        <v>268</v>
      </c>
      <c r="BQ13" s="25" t="s">
        <v>666</v>
      </c>
      <c r="BR13" s="25" t="s">
        <v>81</v>
      </c>
      <c r="BS13" s="326">
        <f t="shared" si="6"/>
        <v>84000</v>
      </c>
      <c r="BT13" s="326">
        <v>33500</v>
      </c>
      <c r="BU13" s="31">
        <v>0.52</v>
      </c>
      <c r="BV13" s="255"/>
      <c r="BX13" s="25" t="s">
        <v>270</v>
      </c>
      <c r="BY13" s="25" t="s">
        <v>667</v>
      </c>
      <c r="BZ13" s="25" t="s">
        <v>69</v>
      </c>
      <c r="CA13" s="201">
        <v>1060000</v>
      </c>
      <c r="CB13" s="28">
        <f t="shared" si="2"/>
        <v>508800</v>
      </c>
      <c r="CC13" s="25">
        <v>2.5</v>
      </c>
      <c r="CF13" s="25" t="s">
        <v>272</v>
      </c>
      <c r="CG13" s="25" t="s">
        <v>668</v>
      </c>
      <c r="CH13" s="25" t="s">
        <v>69</v>
      </c>
      <c r="CI13" s="201">
        <v>1273000</v>
      </c>
      <c r="CJ13" s="28">
        <v>700000</v>
      </c>
      <c r="CK13" s="25">
        <v>3.5</v>
      </c>
      <c r="CV13" s="123" t="s">
        <v>276</v>
      </c>
      <c r="CW13" s="123" t="s">
        <v>669</v>
      </c>
      <c r="CX13" s="123" t="s">
        <v>278</v>
      </c>
      <c r="CY13" s="252">
        <v>327000</v>
      </c>
      <c r="CZ13" s="253">
        <f t="shared" si="4"/>
        <v>173310</v>
      </c>
      <c r="DA13" s="90">
        <v>0.6</v>
      </c>
      <c r="DC13" s="92" t="s">
        <v>670</v>
      </c>
      <c r="DD13" s="25" t="s">
        <v>671</v>
      </c>
      <c r="DE13" s="25" t="s">
        <v>672</v>
      </c>
      <c r="DF13" s="322" t="s">
        <v>73</v>
      </c>
      <c r="DG13" s="323">
        <v>494000</v>
      </c>
      <c r="DH13" s="323">
        <v>153910</v>
      </c>
      <c r="DI13" s="69">
        <v>1.6</v>
      </c>
      <c r="DL13" s="25" t="s">
        <v>639</v>
      </c>
      <c r="DM13" s="243" t="s">
        <v>673</v>
      </c>
      <c r="DN13" s="243" t="s">
        <v>69</v>
      </c>
      <c r="DO13" s="245">
        <v>4920000</v>
      </c>
      <c r="DP13" s="245">
        <f t="shared" ref="DP13:DP18" si="8">ROUNDUP(DO13*0.3,-2)</f>
        <v>1476000</v>
      </c>
      <c r="DQ13" s="25">
        <v>0</v>
      </c>
      <c r="DT13" s="25" t="s">
        <v>535</v>
      </c>
      <c r="DU13" s="25" t="s">
        <v>674</v>
      </c>
      <c r="DV13" s="25" t="s">
        <v>537</v>
      </c>
      <c r="DW13" s="73">
        <v>118000</v>
      </c>
      <c r="DX13" s="73">
        <v>64900</v>
      </c>
      <c r="DY13" s="25">
        <v>0.5</v>
      </c>
      <c r="EA13" s="54" t="s">
        <v>675</v>
      </c>
      <c r="EB13" s="25" t="s">
        <v>676</v>
      </c>
      <c r="EC13" s="25" t="s">
        <v>677</v>
      </c>
      <c r="ED13" s="25" t="s">
        <v>678</v>
      </c>
      <c r="EE13" s="227">
        <v>26200</v>
      </c>
      <c r="EF13" s="245">
        <v>4780</v>
      </c>
      <c r="EG13" s="29">
        <v>0.1</v>
      </c>
      <c r="EJ13" s="25" t="s">
        <v>292</v>
      </c>
      <c r="EK13" s="224" t="s">
        <v>679</v>
      </c>
      <c r="EL13" s="25" t="s">
        <v>53</v>
      </c>
      <c r="EM13" s="231">
        <v>378600</v>
      </c>
      <c r="EN13" s="231">
        <v>189300</v>
      </c>
      <c r="EO13" s="31">
        <v>1.5</v>
      </c>
      <c r="EQ13" s="54" t="s">
        <v>680</v>
      </c>
      <c r="ER13" s="25" t="s">
        <v>608</v>
      </c>
      <c r="ES13" s="25" t="s">
        <v>681</v>
      </c>
      <c r="ET13" s="25" t="s">
        <v>81</v>
      </c>
      <c r="EU13" s="326">
        <v>27600</v>
      </c>
      <c r="EV13" s="326">
        <v>12950</v>
      </c>
      <c r="EW13" s="31">
        <v>0</v>
      </c>
      <c r="EZ13" s="25" t="s">
        <v>644</v>
      </c>
      <c r="FA13" s="25" t="s">
        <v>347</v>
      </c>
      <c r="FB13" s="25" t="s">
        <v>299</v>
      </c>
      <c r="FC13" s="222">
        <v>17600</v>
      </c>
      <c r="FD13" s="222">
        <f t="shared" si="3"/>
        <v>11440</v>
      </c>
      <c r="FE13" s="25">
        <v>0.18</v>
      </c>
      <c r="FH13" s="23"/>
      <c r="FP13" s="23" t="s">
        <v>369</v>
      </c>
      <c r="FS13" s="38"/>
      <c r="FT13" s="38"/>
      <c r="GE13" s="249" t="s">
        <v>682</v>
      </c>
      <c r="GF13" s="343" t="s">
        <v>307</v>
      </c>
      <c r="GG13" s="224" t="s">
        <v>683</v>
      </c>
      <c r="GH13" s="322" t="s">
        <v>73</v>
      </c>
      <c r="GI13" s="244">
        <v>1852000</v>
      </c>
      <c r="GJ13" s="323">
        <v>824100</v>
      </c>
      <c r="GK13" s="31">
        <v>2</v>
      </c>
      <c r="GM13" s="124" t="s">
        <v>684</v>
      </c>
      <c r="GN13" s="25" t="s">
        <v>685</v>
      </c>
      <c r="GO13" s="25" t="s">
        <v>686</v>
      </c>
      <c r="GP13" s="322" t="s">
        <v>73</v>
      </c>
      <c r="GQ13" s="245">
        <v>2851000</v>
      </c>
      <c r="GR13" s="326">
        <v>838610</v>
      </c>
      <c r="GS13" s="142">
        <v>2</v>
      </c>
      <c r="GV13" s="25" t="s">
        <v>242</v>
      </c>
      <c r="GW13" s="25" t="s">
        <v>687</v>
      </c>
      <c r="GX13" s="25" t="s">
        <v>81</v>
      </c>
      <c r="GY13" s="326">
        <f t="shared" si="7"/>
        <v>107000</v>
      </c>
      <c r="GZ13" s="326">
        <v>35200</v>
      </c>
      <c r="HA13" s="31">
        <v>0.52</v>
      </c>
      <c r="HC13" s="54"/>
      <c r="HG13" s="61"/>
      <c r="HH13" s="61"/>
    </row>
    <row r="14" spans="2:216">
      <c r="B14" s="25">
        <v>13</v>
      </c>
      <c r="C14" s="25" t="s">
        <v>688</v>
      </c>
      <c r="D14" s="25" t="s">
        <v>689</v>
      </c>
      <c r="E14" s="25" t="s">
        <v>690</v>
      </c>
      <c r="K14" s="249" t="s">
        <v>691</v>
      </c>
      <c r="L14" s="25" t="s">
        <v>248</v>
      </c>
      <c r="M14" s="236" t="s">
        <v>692</v>
      </c>
      <c r="N14" s="322" t="s">
        <v>73</v>
      </c>
      <c r="O14" s="244">
        <v>1746000</v>
      </c>
      <c r="P14" s="325">
        <v>720010</v>
      </c>
      <c r="Q14" s="31">
        <v>1.7</v>
      </c>
      <c r="R14" s="72"/>
      <c r="T14" s="23" t="s">
        <v>369</v>
      </c>
      <c r="V14" s="322"/>
      <c r="X14" s="35"/>
      <c r="Y14" s="31"/>
      <c r="AB14" s="23" t="s">
        <v>402</v>
      </c>
      <c r="AI14" s="327" t="s">
        <v>693</v>
      </c>
      <c r="AJ14" s="25" t="s">
        <v>404</v>
      </c>
      <c r="AK14" s="322" t="s">
        <v>694</v>
      </c>
      <c r="AL14" s="322" t="s">
        <v>73</v>
      </c>
      <c r="AM14" s="326">
        <v>3736000</v>
      </c>
      <c r="AN14" s="326">
        <v>994720</v>
      </c>
      <c r="AO14" s="57">
        <v>3</v>
      </c>
      <c r="AQ14" s="124" t="s">
        <v>695</v>
      </c>
      <c r="AR14" s="25" t="s">
        <v>260</v>
      </c>
      <c r="AS14" s="130" t="s">
        <v>696</v>
      </c>
      <c r="AT14" s="322" t="s">
        <v>73</v>
      </c>
      <c r="AU14" s="245">
        <v>1000000</v>
      </c>
      <c r="AV14" s="326">
        <v>310890</v>
      </c>
      <c r="AW14" s="31">
        <v>1.3</v>
      </c>
      <c r="AY14" s="54" t="s">
        <v>697</v>
      </c>
      <c r="AZ14" s="25" t="s">
        <v>698</v>
      </c>
      <c r="BA14" s="25" t="s">
        <v>699</v>
      </c>
      <c r="BB14" s="25" t="s">
        <v>73</v>
      </c>
      <c r="BC14" s="326">
        <v>13100</v>
      </c>
      <c r="BD14" s="326">
        <v>3830</v>
      </c>
      <c r="BG14" s="54" t="s">
        <v>700</v>
      </c>
      <c r="BH14" s="25" t="s">
        <v>266</v>
      </c>
      <c r="BI14" s="25" t="s">
        <v>701</v>
      </c>
      <c r="BJ14" s="25" t="s">
        <v>69</v>
      </c>
      <c r="BK14" s="225">
        <v>847000</v>
      </c>
      <c r="BL14" s="227">
        <v>307200</v>
      </c>
      <c r="BM14" s="31">
        <v>1.5</v>
      </c>
      <c r="BP14" s="322" t="s">
        <v>268</v>
      </c>
      <c r="BQ14" s="25" t="s">
        <v>702</v>
      </c>
      <c r="BR14" s="25" t="s">
        <v>81</v>
      </c>
      <c r="BS14" s="326">
        <f t="shared" si="6"/>
        <v>80000</v>
      </c>
      <c r="BT14" s="326">
        <v>32100</v>
      </c>
      <c r="BU14" s="31">
        <v>0.46</v>
      </c>
      <c r="BV14" s="255"/>
      <c r="BX14" s="25" t="s">
        <v>270</v>
      </c>
      <c r="BY14" s="25" t="s">
        <v>703</v>
      </c>
      <c r="BZ14" s="25" t="s">
        <v>69</v>
      </c>
      <c r="CA14" s="201">
        <v>1420000</v>
      </c>
      <c r="CB14" s="28">
        <f t="shared" si="2"/>
        <v>681600</v>
      </c>
      <c r="CC14" s="25">
        <v>2.5</v>
      </c>
      <c r="CV14" s="78" t="s">
        <v>334</v>
      </c>
      <c r="CW14" s="78"/>
      <c r="CX14" s="78"/>
      <c r="CY14" s="96"/>
      <c r="CZ14" s="84"/>
      <c r="DA14" s="89"/>
      <c r="DC14" s="213" t="s">
        <v>704</v>
      </c>
      <c r="DD14" s="25" t="s">
        <v>636</v>
      </c>
      <c r="DE14" s="25" t="s">
        <v>705</v>
      </c>
      <c r="DF14" s="322" t="s">
        <v>73</v>
      </c>
      <c r="DG14" s="323">
        <v>585000</v>
      </c>
      <c r="DH14" s="323">
        <v>177970</v>
      </c>
      <c r="DI14" s="69">
        <v>1.6</v>
      </c>
      <c r="DL14" s="25" t="s">
        <v>639</v>
      </c>
      <c r="DM14" s="243" t="s">
        <v>706</v>
      </c>
      <c r="DN14" s="243" t="s">
        <v>69</v>
      </c>
      <c r="DO14" s="245">
        <v>5830000</v>
      </c>
      <c r="DP14" s="245">
        <f t="shared" si="8"/>
        <v>1749000</v>
      </c>
      <c r="DQ14" s="25">
        <v>0</v>
      </c>
      <c r="DT14" s="25" t="s">
        <v>535</v>
      </c>
      <c r="DU14" s="25" t="s">
        <v>707</v>
      </c>
      <c r="DV14" s="25" t="s">
        <v>537</v>
      </c>
      <c r="DW14" s="73">
        <v>168000</v>
      </c>
      <c r="DX14" s="73">
        <v>92400</v>
      </c>
      <c r="DY14" s="25">
        <v>0.5</v>
      </c>
      <c r="EB14" s="25" t="s">
        <v>708</v>
      </c>
      <c r="EC14" s="25" t="s">
        <v>709</v>
      </c>
      <c r="ED14" s="25" t="s">
        <v>710</v>
      </c>
      <c r="EE14" s="68">
        <v>85000</v>
      </c>
      <c r="EF14" s="68">
        <v>43500</v>
      </c>
      <c r="EG14" s="29">
        <v>0.1</v>
      </c>
      <c r="EJ14" s="23" t="s">
        <v>369</v>
      </c>
      <c r="EQ14" s="54" t="s">
        <v>711</v>
      </c>
      <c r="ER14" s="25" t="s">
        <v>608</v>
      </c>
      <c r="ES14" s="25" t="s">
        <v>426</v>
      </c>
      <c r="ET14" s="25" t="s">
        <v>81</v>
      </c>
      <c r="EU14" s="326">
        <v>18000</v>
      </c>
      <c r="EV14" s="326">
        <v>8150</v>
      </c>
      <c r="EW14" s="31">
        <v>0</v>
      </c>
      <c r="EZ14" s="25" t="s">
        <v>644</v>
      </c>
      <c r="FA14" s="25" t="s">
        <v>387</v>
      </c>
      <c r="FB14" s="25" t="s">
        <v>299</v>
      </c>
      <c r="FC14" s="222">
        <v>19500</v>
      </c>
      <c r="FD14" s="222">
        <f t="shared" si="3"/>
        <v>12675</v>
      </c>
      <c r="FE14" s="25">
        <v>0.18</v>
      </c>
      <c r="FO14" s="249" t="s">
        <v>712</v>
      </c>
      <c r="FP14" s="141" t="s">
        <v>248</v>
      </c>
      <c r="FQ14" s="224" t="s">
        <v>713</v>
      </c>
      <c r="FR14" s="322" t="s">
        <v>73</v>
      </c>
      <c r="FS14" s="244">
        <v>2114000</v>
      </c>
      <c r="FT14" s="330">
        <v>724930</v>
      </c>
      <c r="FU14" s="31">
        <v>2</v>
      </c>
      <c r="GE14" s="249" t="s">
        <v>714</v>
      </c>
      <c r="GF14" s="343" t="s">
        <v>307</v>
      </c>
      <c r="GG14" s="224" t="s">
        <v>715</v>
      </c>
      <c r="GH14" s="322" t="s">
        <v>73</v>
      </c>
      <c r="GI14" s="244">
        <v>2107000</v>
      </c>
      <c r="GJ14" s="323">
        <v>912260</v>
      </c>
      <c r="GK14" s="31">
        <v>2.2000000000000002</v>
      </c>
      <c r="GL14" s="31"/>
      <c r="GM14" s="124" t="s">
        <v>716</v>
      </c>
      <c r="GN14" s="25" t="s">
        <v>685</v>
      </c>
      <c r="GO14" s="25" t="s">
        <v>717</v>
      </c>
      <c r="GP14" s="322" t="s">
        <v>73</v>
      </c>
      <c r="GQ14" s="245">
        <v>2851000</v>
      </c>
      <c r="GR14" s="326">
        <v>854610</v>
      </c>
      <c r="GS14" s="142">
        <v>2</v>
      </c>
      <c r="GV14" s="25" t="s">
        <v>242</v>
      </c>
      <c r="GW14" s="25" t="s">
        <v>718</v>
      </c>
      <c r="GX14" s="25" t="s">
        <v>81</v>
      </c>
      <c r="GY14" s="326">
        <f t="shared" si="7"/>
        <v>102000</v>
      </c>
      <c r="GZ14" s="326">
        <v>33600</v>
      </c>
      <c r="HA14" s="31">
        <v>0.46</v>
      </c>
      <c r="HC14" s="54"/>
      <c r="HG14" s="61"/>
      <c r="HH14" s="61"/>
    </row>
    <row r="15" spans="2:216">
      <c r="B15" s="25">
        <v>14</v>
      </c>
      <c r="C15" s="25" t="s">
        <v>232</v>
      </c>
      <c r="D15" s="25" t="s">
        <v>719</v>
      </c>
      <c r="E15" s="25" t="s">
        <v>720</v>
      </c>
      <c r="K15" s="249" t="s">
        <v>721</v>
      </c>
      <c r="L15" s="25" t="s">
        <v>248</v>
      </c>
      <c r="M15" s="236" t="s">
        <v>722</v>
      </c>
      <c r="N15" s="322" t="s">
        <v>73</v>
      </c>
      <c r="O15" s="244">
        <v>1722000</v>
      </c>
      <c r="P15" s="323">
        <v>762530</v>
      </c>
      <c r="Q15" s="31">
        <v>1.7</v>
      </c>
      <c r="R15" s="72"/>
      <c r="S15" s="125" t="s">
        <v>723</v>
      </c>
      <c r="T15" s="322" t="s">
        <v>724</v>
      </c>
      <c r="U15" s="25" t="s">
        <v>725</v>
      </c>
      <c r="V15" s="322" t="s">
        <v>73</v>
      </c>
      <c r="W15" s="244">
        <v>935000</v>
      </c>
      <c r="X15" s="323">
        <v>373890</v>
      </c>
      <c r="Y15" s="127">
        <v>0.9</v>
      </c>
      <c r="AA15" s="92"/>
      <c r="AG15" s="31"/>
      <c r="AI15" s="327" t="s">
        <v>726</v>
      </c>
      <c r="AJ15" s="25" t="s">
        <v>404</v>
      </c>
      <c r="AK15" s="322" t="s">
        <v>727</v>
      </c>
      <c r="AL15" s="322" t="s">
        <v>73</v>
      </c>
      <c r="AM15" s="326">
        <v>3736000</v>
      </c>
      <c r="AN15" s="326">
        <v>994590</v>
      </c>
      <c r="AO15" s="57">
        <v>3</v>
      </c>
      <c r="AQ15" s="124" t="s">
        <v>728</v>
      </c>
      <c r="AR15" s="25" t="s">
        <v>260</v>
      </c>
      <c r="AS15" s="130" t="s">
        <v>729</v>
      </c>
      <c r="AT15" s="322" t="s">
        <v>73</v>
      </c>
      <c r="AU15" s="245">
        <v>1039000</v>
      </c>
      <c r="AV15" s="326">
        <v>313300</v>
      </c>
      <c r="AW15" s="31">
        <v>1.4</v>
      </c>
      <c r="AY15" s="54" t="s">
        <v>730</v>
      </c>
      <c r="AZ15" s="25" t="s">
        <v>731</v>
      </c>
      <c r="BA15" s="25" t="s">
        <v>732</v>
      </c>
      <c r="BB15" s="25" t="s">
        <v>73</v>
      </c>
      <c r="BC15" s="326">
        <v>15700</v>
      </c>
      <c r="BD15" s="326">
        <v>3250</v>
      </c>
      <c r="BG15" s="54" t="s">
        <v>733</v>
      </c>
      <c r="BH15" s="25" t="s">
        <v>266</v>
      </c>
      <c r="BI15" s="25" t="s">
        <v>734</v>
      </c>
      <c r="BJ15" s="25" t="s">
        <v>69</v>
      </c>
      <c r="BK15" s="225">
        <v>1032000</v>
      </c>
      <c r="BL15" s="227">
        <v>374400</v>
      </c>
      <c r="BM15" s="31">
        <v>1.75</v>
      </c>
      <c r="BP15" s="322" t="s">
        <v>268</v>
      </c>
      <c r="BQ15" s="25" t="s">
        <v>735</v>
      </c>
      <c r="BR15" s="25" t="s">
        <v>81</v>
      </c>
      <c r="BS15" s="326">
        <f t="shared" si="6"/>
        <v>77000</v>
      </c>
      <c r="BT15" s="326">
        <v>30900</v>
      </c>
      <c r="BU15" s="31">
        <v>0.4</v>
      </c>
      <c r="BV15" s="255"/>
      <c r="CV15" s="123" t="s">
        <v>736</v>
      </c>
      <c r="CW15" s="123" t="s">
        <v>737</v>
      </c>
      <c r="CX15" s="123" t="s">
        <v>73</v>
      </c>
      <c r="CY15" s="252">
        <v>192000</v>
      </c>
      <c r="CZ15" s="253">
        <f t="shared" si="4"/>
        <v>101760</v>
      </c>
      <c r="DA15" s="90">
        <v>0.5</v>
      </c>
      <c r="DC15" s="92" t="s">
        <v>738</v>
      </c>
      <c r="DD15" s="25" t="s">
        <v>739</v>
      </c>
      <c r="DE15" s="25" t="s">
        <v>740</v>
      </c>
      <c r="DF15" s="25" t="s">
        <v>741</v>
      </c>
      <c r="DG15" s="225">
        <v>31800</v>
      </c>
      <c r="DH15" s="323">
        <v>10700</v>
      </c>
      <c r="DI15" s="69">
        <v>1.6</v>
      </c>
      <c r="DL15" s="25" t="s">
        <v>639</v>
      </c>
      <c r="DM15" s="243" t="s">
        <v>742</v>
      </c>
      <c r="DN15" s="243" t="s">
        <v>69</v>
      </c>
      <c r="DO15" s="245">
        <v>8880000</v>
      </c>
      <c r="DP15" s="245">
        <f t="shared" si="8"/>
        <v>2664000</v>
      </c>
      <c r="DQ15" s="25">
        <v>0</v>
      </c>
      <c r="DT15" s="23" t="s">
        <v>369</v>
      </c>
      <c r="EA15" s="54" t="s">
        <v>743</v>
      </c>
      <c r="EB15" s="25" t="s">
        <v>744</v>
      </c>
      <c r="EC15" s="25" t="s">
        <v>745</v>
      </c>
      <c r="ED15" s="25" t="s">
        <v>746</v>
      </c>
      <c r="EE15" s="326">
        <v>11300</v>
      </c>
      <c r="EF15" s="326">
        <v>2710</v>
      </c>
      <c r="EG15" s="29">
        <v>0.2</v>
      </c>
      <c r="EI15" s="248" t="s">
        <v>747</v>
      </c>
      <c r="EJ15" s="25" t="s">
        <v>748</v>
      </c>
      <c r="EK15" s="224" t="s">
        <v>749</v>
      </c>
      <c r="EL15" s="25" t="s">
        <v>53</v>
      </c>
      <c r="EM15" s="245">
        <v>119000</v>
      </c>
      <c r="EN15" s="326">
        <v>35870</v>
      </c>
      <c r="EO15" s="31">
        <v>0.5</v>
      </c>
      <c r="EQ15" s="54" t="s">
        <v>750</v>
      </c>
      <c r="ER15" s="25" t="s">
        <v>608</v>
      </c>
      <c r="ES15" s="25" t="s">
        <v>467</v>
      </c>
      <c r="ET15" s="25" t="s">
        <v>81</v>
      </c>
      <c r="EU15" s="326">
        <v>21600</v>
      </c>
      <c r="EV15" s="326">
        <v>10650</v>
      </c>
      <c r="EW15" s="31">
        <v>0</v>
      </c>
      <c r="EZ15" s="25" t="s">
        <v>644</v>
      </c>
      <c r="FA15" s="25" t="s">
        <v>427</v>
      </c>
      <c r="FB15" s="25" t="s">
        <v>299</v>
      </c>
      <c r="FC15" s="222">
        <v>26900</v>
      </c>
      <c r="FD15" s="222">
        <f t="shared" si="3"/>
        <v>17485</v>
      </c>
      <c r="FE15" s="25">
        <v>0.18</v>
      </c>
      <c r="FO15" s="249" t="s">
        <v>751</v>
      </c>
      <c r="FP15" s="141" t="s">
        <v>248</v>
      </c>
      <c r="FQ15" s="224" t="s">
        <v>752</v>
      </c>
      <c r="FR15" s="322" t="s">
        <v>73</v>
      </c>
      <c r="FS15" s="244">
        <v>2177000</v>
      </c>
      <c r="FT15" s="330">
        <v>0</v>
      </c>
      <c r="FU15" s="31">
        <v>2</v>
      </c>
      <c r="GE15" s="249" t="s">
        <v>753</v>
      </c>
      <c r="GF15" s="343" t="s">
        <v>307</v>
      </c>
      <c r="GG15" s="224" t="s">
        <v>754</v>
      </c>
      <c r="GH15" s="322" t="s">
        <v>73</v>
      </c>
      <c r="GI15" s="244">
        <v>2205000</v>
      </c>
      <c r="GJ15" s="323">
        <v>974480</v>
      </c>
      <c r="GK15" s="31">
        <v>2.2000000000000002</v>
      </c>
      <c r="GL15" s="31"/>
      <c r="GM15" s="124" t="s">
        <v>755</v>
      </c>
      <c r="GN15" s="25" t="s">
        <v>685</v>
      </c>
      <c r="GO15" s="25" t="s">
        <v>756</v>
      </c>
      <c r="GP15" s="322" t="s">
        <v>73</v>
      </c>
      <c r="GQ15" s="245">
        <v>3211000</v>
      </c>
      <c r="GR15" s="326">
        <v>857060</v>
      </c>
      <c r="GS15" s="142">
        <v>2.5</v>
      </c>
      <c r="GV15" s="25" t="s">
        <v>242</v>
      </c>
      <c r="GW15" s="25" t="s">
        <v>757</v>
      </c>
      <c r="GX15" s="25" t="s">
        <v>81</v>
      </c>
      <c r="GY15" s="326">
        <f t="shared" si="7"/>
        <v>98000</v>
      </c>
      <c r="GZ15" s="326">
        <v>32200</v>
      </c>
      <c r="HA15" s="31">
        <v>0.4</v>
      </c>
      <c r="HC15" s="54"/>
      <c r="HG15" s="61"/>
      <c r="HH15" s="61"/>
    </row>
    <row r="16" spans="2:216">
      <c r="B16" s="25">
        <v>15</v>
      </c>
      <c r="C16" s="25" t="s">
        <v>242</v>
      </c>
      <c r="D16" s="25" t="s">
        <v>758</v>
      </c>
      <c r="E16" s="25" t="s">
        <v>759</v>
      </c>
      <c r="K16" s="238" t="s">
        <v>760</v>
      </c>
      <c r="L16" s="25" t="s">
        <v>248</v>
      </c>
      <c r="M16" s="236" t="s">
        <v>761</v>
      </c>
      <c r="N16" s="322" t="s">
        <v>73</v>
      </c>
      <c r="O16" s="225">
        <v>1620000</v>
      </c>
      <c r="P16" s="323">
        <v>701210</v>
      </c>
      <c r="Q16" s="31">
        <v>2</v>
      </c>
      <c r="R16" s="72"/>
      <c r="S16" s="125" t="s">
        <v>762</v>
      </c>
      <c r="T16" s="322" t="s">
        <v>763</v>
      </c>
      <c r="U16" s="25" t="s">
        <v>764</v>
      </c>
      <c r="V16" s="322" t="s">
        <v>73</v>
      </c>
      <c r="W16" s="244">
        <v>935000</v>
      </c>
      <c r="X16" s="323">
        <v>373630</v>
      </c>
      <c r="Y16" s="127">
        <v>0.9</v>
      </c>
      <c r="AB16" s="23"/>
      <c r="AG16" s="31"/>
      <c r="AJ16" s="23" t="s">
        <v>402</v>
      </c>
      <c r="AQ16" s="124" t="s">
        <v>765</v>
      </c>
      <c r="AR16" s="25" t="s">
        <v>260</v>
      </c>
      <c r="AS16" s="130" t="s">
        <v>766</v>
      </c>
      <c r="AT16" s="322" t="s">
        <v>73</v>
      </c>
      <c r="AU16" s="245">
        <v>1116000</v>
      </c>
      <c r="AV16" s="326">
        <v>313300</v>
      </c>
      <c r="AW16" s="31">
        <v>1.55</v>
      </c>
      <c r="AY16" s="54" t="s">
        <v>767</v>
      </c>
      <c r="AZ16" s="25" t="s">
        <v>768</v>
      </c>
      <c r="BA16" s="25" t="s">
        <v>769</v>
      </c>
      <c r="BB16" s="25" t="s">
        <v>770</v>
      </c>
      <c r="BC16" s="245">
        <v>13500</v>
      </c>
      <c r="BD16" s="326">
        <v>1990</v>
      </c>
      <c r="BH16" s="23" t="s">
        <v>369</v>
      </c>
      <c r="BP16" s="322" t="s">
        <v>268</v>
      </c>
      <c r="BQ16" s="25" t="s">
        <v>771</v>
      </c>
      <c r="BR16" s="25" t="s">
        <v>81</v>
      </c>
      <c r="BS16" s="326">
        <f t="shared" si="6"/>
        <v>76000</v>
      </c>
      <c r="BT16" s="326">
        <v>30200</v>
      </c>
      <c r="BU16" s="31">
        <v>0.36</v>
      </c>
      <c r="BV16" s="255"/>
      <c r="CV16" s="123" t="s">
        <v>276</v>
      </c>
      <c r="CW16" s="123" t="s">
        <v>772</v>
      </c>
      <c r="CX16" s="123" t="s">
        <v>278</v>
      </c>
      <c r="CY16" s="252">
        <v>223000</v>
      </c>
      <c r="CZ16" s="253">
        <f t="shared" si="4"/>
        <v>118190</v>
      </c>
      <c r="DA16" s="90">
        <v>0.6</v>
      </c>
      <c r="DC16" s="92" t="s">
        <v>773</v>
      </c>
      <c r="DD16" s="25" t="s">
        <v>774</v>
      </c>
      <c r="DE16" s="25" t="s">
        <v>775</v>
      </c>
      <c r="DF16" s="25" t="s">
        <v>741</v>
      </c>
      <c r="DG16" s="225">
        <v>97300</v>
      </c>
      <c r="DH16" s="323">
        <v>35000</v>
      </c>
      <c r="DI16" s="50">
        <v>1.6</v>
      </c>
      <c r="DL16" s="25" t="s">
        <v>776</v>
      </c>
      <c r="DM16" s="243" t="s">
        <v>777</v>
      </c>
      <c r="DN16" s="243" t="s">
        <v>69</v>
      </c>
      <c r="DO16" s="245">
        <v>11400000</v>
      </c>
      <c r="DP16" s="245">
        <f t="shared" si="8"/>
        <v>3420000</v>
      </c>
      <c r="DQ16" s="25">
        <v>0</v>
      </c>
      <c r="DT16" s="25" t="s">
        <v>379</v>
      </c>
      <c r="DU16" s="25" t="s">
        <v>778</v>
      </c>
      <c r="DV16" s="25" t="s">
        <v>286</v>
      </c>
      <c r="DW16" s="73">
        <v>352000</v>
      </c>
      <c r="DX16" s="73">
        <v>193600.00000000003</v>
      </c>
      <c r="DY16" s="25">
        <v>0.5</v>
      </c>
      <c r="EB16" s="25" t="s">
        <v>744</v>
      </c>
      <c r="EC16" s="25" t="s">
        <v>779</v>
      </c>
      <c r="ED16" s="25" t="s">
        <v>746</v>
      </c>
      <c r="EE16" s="68">
        <v>63000</v>
      </c>
      <c r="EF16" s="68">
        <v>25000</v>
      </c>
      <c r="EG16" s="29">
        <v>0.3</v>
      </c>
      <c r="EI16" s="248" t="s">
        <v>780</v>
      </c>
      <c r="EJ16" s="25" t="s">
        <v>748</v>
      </c>
      <c r="EK16" s="224" t="s">
        <v>781</v>
      </c>
      <c r="EL16" s="25" t="s">
        <v>53</v>
      </c>
      <c r="EM16" s="245">
        <v>126000</v>
      </c>
      <c r="EN16" s="326">
        <v>40000</v>
      </c>
      <c r="EO16" s="31">
        <v>0.5</v>
      </c>
      <c r="EQ16" s="54" t="s">
        <v>782</v>
      </c>
      <c r="ER16" s="25" t="s">
        <v>608</v>
      </c>
      <c r="ES16" s="25" t="s">
        <v>503</v>
      </c>
      <c r="ET16" s="25" t="s">
        <v>81</v>
      </c>
      <c r="EU16" s="326">
        <v>25100</v>
      </c>
      <c r="EV16" s="326">
        <v>12550</v>
      </c>
      <c r="EW16" s="31">
        <v>0</v>
      </c>
      <c r="EZ16" s="25" t="s">
        <v>644</v>
      </c>
      <c r="FA16" s="25" t="s">
        <v>468</v>
      </c>
      <c r="FB16" s="25" t="s">
        <v>299</v>
      </c>
      <c r="FC16" s="222">
        <v>36300</v>
      </c>
      <c r="FD16" s="222">
        <f t="shared" si="3"/>
        <v>23595</v>
      </c>
      <c r="FE16" s="25">
        <v>0.19</v>
      </c>
      <c r="FO16" s="249" t="s">
        <v>783</v>
      </c>
      <c r="FP16" s="141" t="s">
        <v>248</v>
      </c>
      <c r="FQ16" s="224" t="s">
        <v>784</v>
      </c>
      <c r="FR16" s="322" t="s">
        <v>73</v>
      </c>
      <c r="FS16" s="244">
        <v>2061000</v>
      </c>
      <c r="FT16" s="330">
        <v>692910</v>
      </c>
      <c r="FU16" s="31">
        <v>2</v>
      </c>
      <c r="GE16" s="249" t="s">
        <v>785</v>
      </c>
      <c r="GF16" s="343" t="s">
        <v>307</v>
      </c>
      <c r="GG16" s="224" t="s">
        <v>786</v>
      </c>
      <c r="GH16" s="322" t="s">
        <v>73</v>
      </c>
      <c r="GI16" s="244">
        <v>2051000</v>
      </c>
      <c r="GJ16" s="323">
        <v>875180</v>
      </c>
      <c r="GK16" s="31">
        <v>2.2000000000000002</v>
      </c>
      <c r="GL16" s="31"/>
      <c r="GM16" s="124" t="s">
        <v>787</v>
      </c>
      <c r="GN16" s="25" t="s">
        <v>685</v>
      </c>
      <c r="GO16" s="25" t="s">
        <v>788</v>
      </c>
      <c r="GP16" s="322" t="s">
        <v>73</v>
      </c>
      <c r="GQ16" s="245">
        <v>2701000</v>
      </c>
      <c r="GR16" s="326">
        <v>779130</v>
      </c>
      <c r="GS16" s="142">
        <v>2.5</v>
      </c>
      <c r="GV16" s="25" t="s">
        <v>242</v>
      </c>
      <c r="GW16" s="25" t="s">
        <v>789</v>
      </c>
      <c r="GX16" s="25" t="s">
        <v>81</v>
      </c>
      <c r="GY16" s="326">
        <f t="shared" si="7"/>
        <v>95000</v>
      </c>
      <c r="GZ16" s="326">
        <v>31400</v>
      </c>
      <c r="HA16" s="31">
        <v>0.36</v>
      </c>
      <c r="HC16" s="54"/>
      <c r="HG16" s="61"/>
      <c r="HH16" s="61"/>
    </row>
    <row r="17" spans="2:216">
      <c r="B17" s="25">
        <v>16</v>
      </c>
      <c r="C17" s="25" t="s">
        <v>304</v>
      </c>
      <c r="D17" s="25" t="s">
        <v>790</v>
      </c>
      <c r="E17" s="26" t="s">
        <v>791</v>
      </c>
      <c r="K17" s="238" t="s">
        <v>792</v>
      </c>
      <c r="L17" s="25" t="s">
        <v>248</v>
      </c>
      <c r="M17" s="236" t="s">
        <v>793</v>
      </c>
      <c r="N17" s="322" t="s">
        <v>73</v>
      </c>
      <c r="O17" s="225">
        <v>1680000</v>
      </c>
      <c r="P17" s="323">
        <v>752540</v>
      </c>
      <c r="Q17" s="31">
        <v>2</v>
      </c>
      <c r="R17" s="72"/>
      <c r="S17" s="125" t="s">
        <v>794</v>
      </c>
      <c r="T17" s="322" t="s">
        <v>724</v>
      </c>
      <c r="U17" s="25" t="s">
        <v>795</v>
      </c>
      <c r="V17" s="322" t="s">
        <v>73</v>
      </c>
      <c r="W17" s="244">
        <v>948000</v>
      </c>
      <c r="X17" s="323">
        <v>386790</v>
      </c>
      <c r="Y17" s="127">
        <v>0.9</v>
      </c>
      <c r="AG17" s="31"/>
      <c r="AI17" s="196" t="s">
        <v>796</v>
      </c>
      <c r="AJ17" s="25" t="s">
        <v>404</v>
      </c>
      <c r="AK17" s="32" t="s">
        <v>797</v>
      </c>
      <c r="AL17" s="322" t="s">
        <v>73</v>
      </c>
      <c r="AM17" s="326">
        <v>3875000</v>
      </c>
      <c r="AN17" s="326">
        <v>939890</v>
      </c>
      <c r="AO17" s="29">
        <v>3</v>
      </c>
      <c r="AQ17" s="124" t="s">
        <v>798</v>
      </c>
      <c r="AR17" s="25" t="s">
        <v>260</v>
      </c>
      <c r="AS17" s="130" t="s">
        <v>799</v>
      </c>
      <c r="AT17" s="322" t="s">
        <v>73</v>
      </c>
      <c r="AU17" s="245">
        <v>1185000</v>
      </c>
      <c r="AV17" s="326">
        <v>379920</v>
      </c>
      <c r="AW17" s="31">
        <v>1.65</v>
      </c>
      <c r="AY17" s="54" t="s">
        <v>800</v>
      </c>
      <c r="AZ17" s="25" t="s">
        <v>801</v>
      </c>
      <c r="BA17" s="25" t="s">
        <v>802</v>
      </c>
      <c r="BB17" s="322" t="s">
        <v>53</v>
      </c>
      <c r="BC17" s="227">
        <v>67900</v>
      </c>
      <c r="BD17" s="326">
        <v>19480</v>
      </c>
      <c r="BG17" s="54" t="s">
        <v>803</v>
      </c>
      <c r="BH17" s="25" t="s">
        <v>804</v>
      </c>
      <c r="BI17" s="25" t="s">
        <v>805</v>
      </c>
      <c r="BJ17" s="25" t="s">
        <v>69</v>
      </c>
      <c r="BK17" s="227">
        <v>121700</v>
      </c>
      <c r="BL17" s="326">
        <v>33020</v>
      </c>
      <c r="BM17" s="31">
        <v>0.5</v>
      </c>
      <c r="BP17" s="322" t="s">
        <v>268</v>
      </c>
      <c r="BQ17" s="25" t="s">
        <v>806</v>
      </c>
      <c r="BR17" s="25" t="s">
        <v>81</v>
      </c>
      <c r="BS17" s="326">
        <f t="shared" si="6"/>
        <v>71000</v>
      </c>
      <c r="BT17" s="326">
        <v>28500</v>
      </c>
      <c r="BU17" s="31">
        <v>0.26</v>
      </c>
      <c r="BV17" s="255"/>
      <c r="CV17" s="123" t="s">
        <v>276</v>
      </c>
      <c r="CW17" s="123" t="s">
        <v>807</v>
      </c>
      <c r="CX17" s="123" t="s">
        <v>278</v>
      </c>
      <c r="CY17" s="252">
        <v>291000</v>
      </c>
      <c r="CZ17" s="253">
        <f t="shared" si="4"/>
        <v>154230</v>
      </c>
      <c r="DA17" s="90">
        <v>0.7</v>
      </c>
      <c r="DC17" s="54" t="s">
        <v>808</v>
      </c>
      <c r="DD17" s="25" t="s">
        <v>809</v>
      </c>
      <c r="DE17" s="25" t="s">
        <v>810</v>
      </c>
      <c r="DF17" s="25" t="s">
        <v>49</v>
      </c>
      <c r="DG17" s="245">
        <v>23100</v>
      </c>
      <c r="DH17" s="326">
        <v>3200</v>
      </c>
      <c r="DL17" s="25" t="s">
        <v>639</v>
      </c>
      <c r="DM17" s="243" t="s">
        <v>811</v>
      </c>
      <c r="DN17" s="243" t="s">
        <v>69</v>
      </c>
      <c r="DO17" s="245">
        <v>14870000</v>
      </c>
      <c r="DP17" s="245">
        <f t="shared" si="8"/>
        <v>4461000</v>
      </c>
      <c r="DQ17" s="25">
        <v>0</v>
      </c>
      <c r="DT17" s="25" t="s">
        <v>284</v>
      </c>
      <c r="DU17" s="25" t="s">
        <v>812</v>
      </c>
      <c r="DV17" s="25" t="s">
        <v>286</v>
      </c>
      <c r="DW17" s="73">
        <v>376000</v>
      </c>
      <c r="DX17" s="73">
        <v>206800.00000000003</v>
      </c>
      <c r="DY17" s="25">
        <v>0.75</v>
      </c>
      <c r="EB17" s="25" t="s">
        <v>813</v>
      </c>
      <c r="EC17" s="25" t="s">
        <v>814</v>
      </c>
      <c r="ED17" s="25" t="s">
        <v>53</v>
      </c>
      <c r="EE17" s="227">
        <v>4980</v>
      </c>
      <c r="EF17" s="227">
        <v>1560</v>
      </c>
      <c r="EG17" s="29">
        <v>0.5</v>
      </c>
      <c r="EI17" s="248" t="s">
        <v>815</v>
      </c>
      <c r="EJ17" s="25" t="s">
        <v>748</v>
      </c>
      <c r="EK17" s="224" t="s">
        <v>816</v>
      </c>
      <c r="EL17" s="25" t="s">
        <v>53</v>
      </c>
      <c r="EM17" s="245">
        <v>145000</v>
      </c>
      <c r="EN17" s="326">
        <v>52380</v>
      </c>
      <c r="EO17" s="31">
        <v>0.5</v>
      </c>
      <c r="EQ17" s="54" t="s">
        <v>817</v>
      </c>
      <c r="ER17" s="25" t="s">
        <v>608</v>
      </c>
      <c r="ES17" s="25" t="s">
        <v>296</v>
      </c>
      <c r="ET17" s="25" t="s">
        <v>81</v>
      </c>
      <c r="EU17" s="326">
        <v>26300</v>
      </c>
      <c r="EV17" s="326">
        <v>12950</v>
      </c>
      <c r="EW17" s="31">
        <v>0</v>
      </c>
      <c r="EZ17" s="25" t="s">
        <v>644</v>
      </c>
      <c r="FA17" s="25" t="s">
        <v>504</v>
      </c>
      <c r="FB17" s="25" t="s">
        <v>299</v>
      </c>
      <c r="FC17" s="222">
        <v>49000</v>
      </c>
      <c r="FD17" s="222">
        <f t="shared" si="3"/>
        <v>31850</v>
      </c>
      <c r="FE17" s="25">
        <v>0.19</v>
      </c>
      <c r="FP17" s="23" t="s">
        <v>369</v>
      </c>
      <c r="FS17" s="38"/>
      <c r="FT17" s="38"/>
      <c r="GE17" s="238"/>
      <c r="GF17" s="343" t="s">
        <v>307</v>
      </c>
      <c r="GG17" s="224" t="s">
        <v>818</v>
      </c>
      <c r="GH17" s="322" t="s">
        <v>73</v>
      </c>
      <c r="GI17" s="225">
        <v>2900000</v>
      </c>
      <c r="GJ17" s="225">
        <v>1258610</v>
      </c>
      <c r="GK17" s="206">
        <v>2.8</v>
      </c>
      <c r="GM17" s="124" t="s">
        <v>819</v>
      </c>
      <c r="GN17" s="126" t="s">
        <v>685</v>
      </c>
      <c r="GO17" s="126" t="s">
        <v>820</v>
      </c>
      <c r="GP17" s="322" t="s">
        <v>73</v>
      </c>
      <c r="GQ17" s="245">
        <v>3312000</v>
      </c>
      <c r="GR17" s="326">
        <v>959890</v>
      </c>
      <c r="GS17" s="127">
        <v>2.5</v>
      </c>
      <c r="GV17" s="25" t="s">
        <v>242</v>
      </c>
      <c r="GW17" s="25" t="s">
        <v>821</v>
      </c>
      <c r="GX17" s="25" t="s">
        <v>81</v>
      </c>
      <c r="GY17" s="326">
        <f t="shared" si="7"/>
        <v>89000</v>
      </c>
      <c r="GZ17" s="326">
        <v>29300</v>
      </c>
      <c r="HA17" s="31">
        <v>0.26</v>
      </c>
      <c r="HC17" s="54"/>
      <c r="HG17" s="61"/>
      <c r="HH17" s="61"/>
    </row>
    <row r="18" spans="2:216">
      <c r="B18" s="25">
        <v>17</v>
      </c>
      <c r="C18" s="25" t="s">
        <v>270</v>
      </c>
      <c r="D18" s="25" t="s">
        <v>822</v>
      </c>
      <c r="E18" s="26" t="s">
        <v>823</v>
      </c>
      <c r="K18" s="238" t="s">
        <v>824</v>
      </c>
      <c r="L18" s="25" t="s">
        <v>248</v>
      </c>
      <c r="M18" s="236" t="s">
        <v>825</v>
      </c>
      <c r="N18" s="322" t="s">
        <v>73</v>
      </c>
      <c r="O18" s="225">
        <v>1572000</v>
      </c>
      <c r="P18" s="323">
        <v>668670</v>
      </c>
      <c r="Q18" s="31">
        <v>2</v>
      </c>
      <c r="R18" s="72"/>
      <c r="S18" s="125" t="s">
        <v>826</v>
      </c>
      <c r="T18" s="322" t="s">
        <v>763</v>
      </c>
      <c r="U18" s="25" t="s">
        <v>827</v>
      </c>
      <c r="V18" s="322" t="s">
        <v>73</v>
      </c>
      <c r="W18" s="244">
        <v>948000</v>
      </c>
      <c r="X18" s="323">
        <v>386790</v>
      </c>
      <c r="Y18" s="127">
        <v>0.9</v>
      </c>
      <c r="AG18" s="31"/>
      <c r="AI18" s="328" t="s">
        <v>828</v>
      </c>
      <c r="AJ18" s="322" t="s">
        <v>257</v>
      </c>
      <c r="AK18" s="322" t="s">
        <v>829</v>
      </c>
      <c r="AL18" s="322" t="s">
        <v>73</v>
      </c>
      <c r="AM18" s="326">
        <v>3875000</v>
      </c>
      <c r="AN18" s="326">
        <v>950730</v>
      </c>
      <c r="AO18" s="29">
        <v>3</v>
      </c>
      <c r="AQ18" s="124" t="s">
        <v>830</v>
      </c>
      <c r="AR18" s="25" t="s">
        <v>260</v>
      </c>
      <c r="AS18" s="130" t="s">
        <v>831</v>
      </c>
      <c r="AT18" s="322" t="s">
        <v>73</v>
      </c>
      <c r="AU18" s="245">
        <v>1242000</v>
      </c>
      <c r="AV18" s="326">
        <v>382330</v>
      </c>
      <c r="AW18" s="31">
        <v>1.75</v>
      </c>
      <c r="AY18" s="54" t="s">
        <v>832</v>
      </c>
      <c r="AZ18" s="25" t="s">
        <v>833</v>
      </c>
      <c r="BA18" s="25" t="s">
        <v>834</v>
      </c>
      <c r="BB18" s="322" t="s">
        <v>73</v>
      </c>
      <c r="BC18" s="245">
        <v>109200</v>
      </c>
      <c r="BD18" s="326">
        <v>20510</v>
      </c>
      <c r="BP18" s="322" t="s">
        <v>268</v>
      </c>
      <c r="BQ18" s="25" t="s">
        <v>835</v>
      </c>
      <c r="BR18" s="25" t="s">
        <v>81</v>
      </c>
      <c r="BS18" s="326">
        <f t="shared" si="6"/>
        <v>68000</v>
      </c>
      <c r="BT18" s="326">
        <v>27300</v>
      </c>
      <c r="BU18" s="31">
        <v>0.2</v>
      </c>
      <c r="BV18" s="255"/>
      <c r="CV18" s="123" t="s">
        <v>276</v>
      </c>
      <c r="CW18" s="123" t="s">
        <v>836</v>
      </c>
      <c r="CX18" s="123" t="s">
        <v>278</v>
      </c>
      <c r="CY18" s="252">
        <v>327000</v>
      </c>
      <c r="CZ18" s="253">
        <f t="shared" si="4"/>
        <v>173310</v>
      </c>
      <c r="DA18" s="90">
        <v>0.7</v>
      </c>
      <c r="DC18" s="54" t="s">
        <v>837</v>
      </c>
      <c r="DD18" s="25" t="s">
        <v>838</v>
      </c>
      <c r="DE18" s="25" t="s">
        <v>810</v>
      </c>
      <c r="DF18" s="25" t="s">
        <v>49</v>
      </c>
      <c r="DG18" s="245">
        <v>33500</v>
      </c>
      <c r="DH18" s="326">
        <v>4360</v>
      </c>
      <c r="DL18" s="25" t="s">
        <v>639</v>
      </c>
      <c r="DM18" s="243" t="s">
        <v>839</v>
      </c>
      <c r="DN18" s="243" t="s">
        <v>69</v>
      </c>
      <c r="DO18" s="245">
        <v>17870000</v>
      </c>
      <c r="DP18" s="245">
        <f t="shared" si="8"/>
        <v>5361000</v>
      </c>
      <c r="DQ18" s="25">
        <v>0</v>
      </c>
      <c r="DT18" s="25" t="s">
        <v>284</v>
      </c>
      <c r="DU18" s="25" t="s">
        <v>840</v>
      </c>
      <c r="DV18" s="25" t="s">
        <v>286</v>
      </c>
      <c r="DW18" s="73">
        <v>431000</v>
      </c>
      <c r="DX18" s="73">
        <v>237100</v>
      </c>
      <c r="DY18" s="25">
        <v>1</v>
      </c>
      <c r="EB18" s="25" t="s">
        <v>841</v>
      </c>
      <c r="EC18" s="25" t="s">
        <v>842</v>
      </c>
      <c r="ED18" s="25" t="s">
        <v>843</v>
      </c>
      <c r="EE18" s="28">
        <v>25000</v>
      </c>
      <c r="EF18" s="28">
        <v>10000</v>
      </c>
      <c r="EG18" s="29">
        <v>0.5</v>
      </c>
      <c r="EI18" s="248" t="s">
        <v>844</v>
      </c>
      <c r="EJ18" s="25" t="s">
        <v>748</v>
      </c>
      <c r="EK18" s="224" t="s">
        <v>845</v>
      </c>
      <c r="EL18" s="25" t="s">
        <v>53</v>
      </c>
      <c r="EM18" s="245">
        <v>147000</v>
      </c>
      <c r="EN18" s="326">
        <v>63990</v>
      </c>
      <c r="EO18" s="31">
        <v>0.7</v>
      </c>
      <c r="EQ18" s="54" t="s">
        <v>846</v>
      </c>
      <c r="ER18" s="25" t="s">
        <v>608</v>
      </c>
      <c r="ES18" s="25" t="s">
        <v>386</v>
      </c>
      <c r="ET18" s="25" t="s">
        <v>81</v>
      </c>
      <c r="EU18" s="326">
        <v>29800</v>
      </c>
      <c r="EV18" s="326">
        <v>14900</v>
      </c>
      <c r="EW18" s="31">
        <v>0</v>
      </c>
      <c r="EZ18" s="25" t="s">
        <v>644</v>
      </c>
      <c r="FA18" s="25" t="s">
        <v>847</v>
      </c>
      <c r="FB18" s="25" t="s">
        <v>299</v>
      </c>
      <c r="FC18" s="222">
        <v>52800</v>
      </c>
      <c r="FD18" s="222">
        <f t="shared" si="3"/>
        <v>34320</v>
      </c>
      <c r="FE18" s="25">
        <v>0.19</v>
      </c>
      <c r="FO18" s="249" t="s">
        <v>848</v>
      </c>
      <c r="FP18" s="141" t="s">
        <v>248</v>
      </c>
      <c r="FQ18" s="224" t="s">
        <v>849</v>
      </c>
      <c r="FR18" s="322" t="s">
        <v>73</v>
      </c>
      <c r="FS18" s="244">
        <v>2328000</v>
      </c>
      <c r="FT18" s="330">
        <v>746190</v>
      </c>
      <c r="FU18" s="31">
        <v>2.2000000000000002</v>
      </c>
      <c r="GF18" s="23" t="s">
        <v>369</v>
      </c>
      <c r="GH18" s="322"/>
      <c r="GM18" s="124" t="s">
        <v>850</v>
      </c>
      <c r="GN18" s="126" t="s">
        <v>685</v>
      </c>
      <c r="GO18" s="126" t="s">
        <v>851</v>
      </c>
      <c r="GP18" s="322" t="s">
        <v>73</v>
      </c>
      <c r="GQ18" s="245">
        <v>2777000</v>
      </c>
      <c r="GR18" s="326">
        <v>882220</v>
      </c>
      <c r="GS18" s="127">
        <v>2.5</v>
      </c>
      <c r="GV18" s="25" t="s">
        <v>242</v>
      </c>
      <c r="GW18" s="25" t="s">
        <v>852</v>
      </c>
      <c r="GX18" s="25" t="s">
        <v>81</v>
      </c>
      <c r="GY18" s="326">
        <f t="shared" si="7"/>
        <v>85000</v>
      </c>
      <c r="GZ18" s="326">
        <v>27900</v>
      </c>
      <c r="HA18" s="31">
        <v>0.2</v>
      </c>
      <c r="HC18" s="54"/>
      <c r="HG18" s="61"/>
      <c r="HH18" s="61"/>
    </row>
    <row r="19" spans="2:216">
      <c r="B19" s="25">
        <v>18</v>
      </c>
      <c r="C19" s="25" t="s">
        <v>853</v>
      </c>
      <c r="D19" s="25" t="s">
        <v>854</v>
      </c>
      <c r="E19" s="25" t="s">
        <v>855</v>
      </c>
      <c r="K19" s="238" t="s">
        <v>856</v>
      </c>
      <c r="L19" s="25" t="s">
        <v>248</v>
      </c>
      <c r="M19" s="236" t="s">
        <v>857</v>
      </c>
      <c r="N19" s="322" t="s">
        <v>73</v>
      </c>
      <c r="O19" s="225">
        <v>1814000</v>
      </c>
      <c r="P19" s="323">
        <v>722990</v>
      </c>
      <c r="Q19" s="31">
        <v>2.2000000000000002</v>
      </c>
      <c r="R19" s="72"/>
      <c r="T19" s="23" t="s">
        <v>369</v>
      </c>
      <c r="V19" s="322"/>
      <c r="AG19" s="31"/>
      <c r="AI19" s="327" t="s">
        <v>858</v>
      </c>
      <c r="AJ19" s="25" t="s">
        <v>404</v>
      </c>
      <c r="AK19" s="322" t="s">
        <v>859</v>
      </c>
      <c r="AL19" s="322" t="s">
        <v>73</v>
      </c>
      <c r="AM19" s="326">
        <v>3875000</v>
      </c>
      <c r="AN19" s="326">
        <v>949050</v>
      </c>
      <c r="AO19" s="29">
        <v>3</v>
      </c>
      <c r="AQ19" s="124" t="s">
        <v>860</v>
      </c>
      <c r="AR19" s="25" t="s">
        <v>260</v>
      </c>
      <c r="AS19" s="130" t="s">
        <v>861</v>
      </c>
      <c r="AT19" s="322" t="s">
        <v>73</v>
      </c>
      <c r="AU19" s="245">
        <v>1295000</v>
      </c>
      <c r="AV19" s="326">
        <v>399360</v>
      </c>
      <c r="AW19" s="31">
        <v>1.9</v>
      </c>
      <c r="AZ19" s="23"/>
      <c r="BP19" s="322" t="s">
        <v>268</v>
      </c>
      <c r="BQ19" s="25" t="s">
        <v>862</v>
      </c>
      <c r="BR19" s="25" t="s">
        <v>81</v>
      </c>
      <c r="BS19" s="326">
        <f t="shared" si="6"/>
        <v>65000</v>
      </c>
      <c r="BT19" s="326">
        <v>26000</v>
      </c>
      <c r="BU19" s="31">
        <v>0.13</v>
      </c>
      <c r="BV19" s="255"/>
      <c r="CV19" s="123" t="s">
        <v>276</v>
      </c>
      <c r="CW19" s="123" t="s">
        <v>863</v>
      </c>
      <c r="CX19" s="123" t="s">
        <v>73</v>
      </c>
      <c r="CY19" s="252">
        <v>440000</v>
      </c>
      <c r="CZ19" s="253">
        <f t="shared" si="4"/>
        <v>233200</v>
      </c>
      <c r="DA19" s="90">
        <v>0.8</v>
      </c>
      <c r="DC19" s="54" t="s">
        <v>864</v>
      </c>
      <c r="DD19" s="25" t="s">
        <v>865</v>
      </c>
      <c r="DE19" s="25" t="s">
        <v>866</v>
      </c>
      <c r="DF19" s="25" t="s">
        <v>49</v>
      </c>
      <c r="DG19" s="245">
        <v>71900</v>
      </c>
      <c r="DH19" s="326">
        <v>4500</v>
      </c>
      <c r="DT19" s="25" t="s">
        <v>379</v>
      </c>
      <c r="DU19" s="25" t="s">
        <v>867</v>
      </c>
      <c r="DV19" s="25" t="s">
        <v>286</v>
      </c>
      <c r="DW19" s="73">
        <v>466000</v>
      </c>
      <c r="DX19" s="73">
        <v>256300.00000000003</v>
      </c>
      <c r="DY19" s="25">
        <v>1.5</v>
      </c>
      <c r="EA19" s="54" t="s">
        <v>868</v>
      </c>
      <c r="EB19" s="25" t="s">
        <v>869</v>
      </c>
      <c r="EC19" s="25" t="s">
        <v>870</v>
      </c>
      <c r="ED19" s="25" t="s">
        <v>746</v>
      </c>
      <c r="EE19" s="326">
        <v>4530</v>
      </c>
      <c r="EF19" s="326">
        <v>1250</v>
      </c>
      <c r="EG19" s="29">
        <v>0.1</v>
      </c>
      <c r="EI19" s="93" t="s">
        <v>871</v>
      </c>
      <c r="EJ19" s="25" t="s">
        <v>748</v>
      </c>
      <c r="EK19" s="130" t="s">
        <v>872</v>
      </c>
      <c r="EL19" s="25" t="s">
        <v>53</v>
      </c>
      <c r="EM19" s="245">
        <v>119000</v>
      </c>
      <c r="EN19" s="245">
        <v>36590</v>
      </c>
      <c r="EO19" s="31">
        <v>0.5</v>
      </c>
      <c r="EQ19" s="54" t="s">
        <v>873</v>
      </c>
      <c r="ER19" s="25" t="s">
        <v>608</v>
      </c>
      <c r="ES19" s="25" t="s">
        <v>874</v>
      </c>
      <c r="ET19" s="25" t="s">
        <v>81</v>
      </c>
      <c r="EU19" s="326">
        <v>33500</v>
      </c>
      <c r="EV19" s="326">
        <v>17200</v>
      </c>
      <c r="EW19" s="31">
        <v>0</v>
      </c>
      <c r="EZ19" s="25" t="s">
        <v>644</v>
      </c>
      <c r="FA19" s="25" t="s">
        <v>544</v>
      </c>
      <c r="FB19" s="25" t="s">
        <v>299</v>
      </c>
      <c r="FC19" s="222">
        <v>54900</v>
      </c>
      <c r="FD19" s="222">
        <f t="shared" si="3"/>
        <v>35685</v>
      </c>
      <c r="FE19" s="25">
        <v>0.2</v>
      </c>
      <c r="FO19" s="249" t="s">
        <v>875</v>
      </c>
      <c r="FP19" s="141" t="s">
        <v>248</v>
      </c>
      <c r="FQ19" s="224" t="s">
        <v>876</v>
      </c>
      <c r="FR19" s="322" t="s">
        <v>73</v>
      </c>
      <c r="FS19" s="244">
        <v>2400000</v>
      </c>
      <c r="FT19" s="330">
        <v>811530</v>
      </c>
      <c r="FU19" s="31">
        <v>2.2000000000000002</v>
      </c>
      <c r="GE19" s="249" t="s">
        <v>877</v>
      </c>
      <c r="GF19" s="322" t="s">
        <v>878</v>
      </c>
      <c r="GG19" s="224" t="s">
        <v>879</v>
      </c>
      <c r="GH19" s="322" t="s">
        <v>73</v>
      </c>
      <c r="GI19" s="323">
        <v>1197000</v>
      </c>
      <c r="GJ19" s="323">
        <v>553550</v>
      </c>
      <c r="GK19" s="31">
        <v>1.25</v>
      </c>
      <c r="GM19" s="124" t="s">
        <v>880</v>
      </c>
      <c r="GN19" s="25" t="s">
        <v>685</v>
      </c>
      <c r="GO19" s="25" t="s">
        <v>881</v>
      </c>
      <c r="GP19" s="322" t="s">
        <v>73</v>
      </c>
      <c r="GQ19" s="245">
        <v>4017000</v>
      </c>
      <c r="GR19" s="326">
        <v>1185670</v>
      </c>
      <c r="GS19" s="142">
        <v>3.1</v>
      </c>
      <c r="GV19" s="25" t="s">
        <v>242</v>
      </c>
      <c r="GW19" s="25" t="s">
        <v>882</v>
      </c>
      <c r="GX19" s="25" t="s">
        <v>81</v>
      </c>
      <c r="GY19" s="326">
        <f t="shared" si="7"/>
        <v>80000</v>
      </c>
      <c r="GZ19" s="326">
        <v>26400</v>
      </c>
      <c r="HA19" s="31">
        <v>0.13</v>
      </c>
      <c r="HC19" s="54"/>
      <c r="HG19" s="61"/>
      <c r="HH19" s="61"/>
    </row>
    <row r="20" spans="2:216">
      <c r="B20" s="25">
        <v>19</v>
      </c>
      <c r="C20" s="25" t="s">
        <v>883</v>
      </c>
      <c r="D20" s="25" t="s">
        <v>884</v>
      </c>
      <c r="E20" s="25" t="s">
        <v>885</v>
      </c>
      <c r="K20" s="238" t="s">
        <v>886</v>
      </c>
      <c r="L20" s="25" t="s">
        <v>248</v>
      </c>
      <c r="M20" s="236" t="s">
        <v>887</v>
      </c>
      <c r="N20" s="322" t="s">
        <v>73</v>
      </c>
      <c r="O20" s="225">
        <v>1882000</v>
      </c>
      <c r="P20" s="323">
        <v>792990</v>
      </c>
      <c r="Q20" s="31">
        <v>2.2000000000000002</v>
      </c>
      <c r="R20" s="72"/>
      <c r="S20" s="249" t="s">
        <v>888</v>
      </c>
      <c r="T20" s="322" t="s">
        <v>889</v>
      </c>
      <c r="U20" s="25" t="s">
        <v>890</v>
      </c>
      <c r="V20" s="322" t="s">
        <v>73</v>
      </c>
      <c r="W20" s="225">
        <v>322000</v>
      </c>
      <c r="X20" s="323">
        <v>159980</v>
      </c>
      <c r="Y20" s="31">
        <v>0.5</v>
      </c>
      <c r="AG20" s="31"/>
      <c r="AI20" s="196" t="s">
        <v>891</v>
      </c>
      <c r="AJ20" s="25" t="s">
        <v>404</v>
      </c>
      <c r="AK20" s="32" t="s">
        <v>892</v>
      </c>
      <c r="AL20" s="322" t="s">
        <v>73</v>
      </c>
      <c r="AM20" s="326">
        <v>3875000</v>
      </c>
      <c r="AN20" s="326">
        <v>938600</v>
      </c>
      <c r="AO20" s="29">
        <v>3</v>
      </c>
      <c r="AQ20" s="124" t="s">
        <v>893</v>
      </c>
      <c r="AR20" s="25" t="s">
        <v>260</v>
      </c>
      <c r="AS20" s="130" t="s">
        <v>894</v>
      </c>
      <c r="AT20" s="322" t="s">
        <v>73</v>
      </c>
      <c r="AU20" s="245">
        <v>1484000</v>
      </c>
      <c r="AV20" s="326">
        <v>473840</v>
      </c>
      <c r="AW20" s="31">
        <v>2.0499999999999998</v>
      </c>
      <c r="BP20" s="23" t="s">
        <v>369</v>
      </c>
      <c r="BV20" s="255"/>
      <c r="CV20" s="78" t="s">
        <v>334</v>
      </c>
      <c r="CW20" s="78"/>
      <c r="CX20" s="78"/>
      <c r="CY20" s="96"/>
      <c r="CZ20" s="84"/>
      <c r="DA20" s="89"/>
      <c r="DT20" s="25" t="s">
        <v>379</v>
      </c>
      <c r="DU20" s="25" t="s">
        <v>895</v>
      </c>
      <c r="DV20" s="25" t="s">
        <v>286</v>
      </c>
      <c r="DW20" s="73">
        <v>544000</v>
      </c>
      <c r="DX20" s="73">
        <v>299200</v>
      </c>
      <c r="DY20" s="25">
        <v>2</v>
      </c>
      <c r="EB20" s="23" t="s">
        <v>369</v>
      </c>
      <c r="EI20" s="93" t="s">
        <v>896</v>
      </c>
      <c r="EJ20" s="25" t="s">
        <v>748</v>
      </c>
      <c r="EK20" s="130" t="s">
        <v>897</v>
      </c>
      <c r="EL20" s="25" t="s">
        <v>53</v>
      </c>
      <c r="EM20" s="245">
        <v>126000</v>
      </c>
      <c r="EN20" s="245">
        <v>40820</v>
      </c>
      <c r="EO20" s="31">
        <v>0.5</v>
      </c>
      <c r="ER20" s="23" t="s">
        <v>369</v>
      </c>
      <c r="EZ20" s="25" t="s">
        <v>644</v>
      </c>
      <c r="FA20" s="25" t="s">
        <v>575</v>
      </c>
      <c r="FB20" s="25" t="s">
        <v>299</v>
      </c>
      <c r="FC20" s="222">
        <v>60100</v>
      </c>
      <c r="FD20" s="222">
        <f t="shared" si="3"/>
        <v>39065</v>
      </c>
      <c r="FE20" s="25">
        <v>0.2</v>
      </c>
      <c r="FO20" s="249" t="s">
        <v>898</v>
      </c>
      <c r="FP20" s="141" t="s">
        <v>248</v>
      </c>
      <c r="FQ20" s="224" t="s">
        <v>899</v>
      </c>
      <c r="FR20" s="322" t="s">
        <v>73</v>
      </c>
      <c r="FS20" s="244">
        <v>2268000</v>
      </c>
      <c r="FT20" s="330">
        <v>712620</v>
      </c>
      <c r="FU20" s="31">
        <v>2.2000000000000002</v>
      </c>
      <c r="GE20" s="249" t="s">
        <v>900</v>
      </c>
      <c r="GF20" s="322" t="s">
        <v>878</v>
      </c>
      <c r="GG20" s="224" t="s">
        <v>901</v>
      </c>
      <c r="GH20" s="322" t="s">
        <v>73</v>
      </c>
      <c r="GI20" s="323">
        <v>1215000</v>
      </c>
      <c r="GJ20" s="323">
        <v>562370</v>
      </c>
      <c r="GK20" s="31">
        <v>1.25</v>
      </c>
      <c r="GM20" s="124" t="s">
        <v>902</v>
      </c>
      <c r="GN20" s="25" t="s">
        <v>685</v>
      </c>
      <c r="GO20" s="25" t="s">
        <v>903</v>
      </c>
      <c r="GP20" s="322" t="s">
        <v>73</v>
      </c>
      <c r="GQ20" s="245">
        <v>3721000</v>
      </c>
      <c r="GR20" s="326">
        <v>1087100</v>
      </c>
      <c r="GS20" s="142">
        <v>3.1</v>
      </c>
      <c r="GV20" s="23" t="s">
        <v>369</v>
      </c>
      <c r="HC20" s="54"/>
      <c r="HG20" s="61"/>
      <c r="HH20" s="61"/>
    </row>
    <row r="21" spans="2:216">
      <c r="B21" s="25">
        <v>20</v>
      </c>
      <c r="C21" s="25" t="s">
        <v>904</v>
      </c>
      <c r="D21" s="25" t="s">
        <v>905</v>
      </c>
      <c r="E21" s="23" t="s">
        <v>585</v>
      </c>
      <c r="K21" s="238" t="s">
        <v>906</v>
      </c>
      <c r="L21" s="25" t="s">
        <v>248</v>
      </c>
      <c r="M21" s="236" t="s">
        <v>907</v>
      </c>
      <c r="N21" s="322" t="s">
        <v>73</v>
      </c>
      <c r="O21" s="225">
        <v>1763000</v>
      </c>
      <c r="P21" s="323">
        <v>685520</v>
      </c>
      <c r="Q21" s="31">
        <v>2.2000000000000002</v>
      </c>
      <c r="R21" s="72"/>
      <c r="S21" s="249" t="s">
        <v>908</v>
      </c>
      <c r="T21" s="322" t="s">
        <v>889</v>
      </c>
      <c r="U21" s="25" t="s">
        <v>909</v>
      </c>
      <c r="V21" s="322" t="s">
        <v>73</v>
      </c>
      <c r="W21" s="225">
        <v>344000</v>
      </c>
      <c r="X21" s="323">
        <v>168500</v>
      </c>
      <c r="Y21" s="31">
        <v>0.5</v>
      </c>
      <c r="AI21" s="328" t="s">
        <v>910</v>
      </c>
      <c r="AJ21" s="322" t="s">
        <v>257</v>
      </c>
      <c r="AK21" s="322" t="s">
        <v>911</v>
      </c>
      <c r="AL21" s="322" t="s">
        <v>73</v>
      </c>
      <c r="AM21" s="326">
        <v>3875000</v>
      </c>
      <c r="AN21" s="326">
        <v>949050</v>
      </c>
      <c r="AO21" s="29">
        <v>3</v>
      </c>
      <c r="AQ21" s="124" t="s">
        <v>912</v>
      </c>
      <c r="AR21" s="25" t="s">
        <v>260</v>
      </c>
      <c r="AS21" s="130" t="s">
        <v>913</v>
      </c>
      <c r="AT21" s="322" t="s">
        <v>73</v>
      </c>
      <c r="AU21" s="245">
        <v>1729000</v>
      </c>
      <c r="AV21" s="326">
        <v>475170</v>
      </c>
      <c r="AW21" s="31">
        <v>2.15</v>
      </c>
      <c r="BP21" s="322" t="s">
        <v>268</v>
      </c>
      <c r="BQ21" s="25" t="s">
        <v>914</v>
      </c>
      <c r="BR21" s="25" t="s">
        <v>81</v>
      </c>
      <c r="BS21" s="326">
        <f t="shared" ref="BS21:BS55" si="9">ROUND(BT21/0.4,-3)</f>
        <v>89000</v>
      </c>
      <c r="BT21" s="326">
        <v>35400</v>
      </c>
      <c r="BU21" s="31">
        <v>0.72</v>
      </c>
      <c r="BV21" s="255"/>
      <c r="CV21" s="123" t="s">
        <v>276</v>
      </c>
      <c r="CW21" s="123" t="s">
        <v>915</v>
      </c>
      <c r="CX21" s="123" t="s">
        <v>278</v>
      </c>
      <c r="CY21" s="252">
        <v>246000</v>
      </c>
      <c r="CZ21" s="253">
        <f t="shared" si="4"/>
        <v>130380</v>
      </c>
      <c r="DA21" s="90">
        <v>0.7</v>
      </c>
      <c r="DD21" s="23"/>
      <c r="DT21" s="25" t="s">
        <v>535</v>
      </c>
      <c r="DU21" s="25" t="s">
        <v>916</v>
      </c>
      <c r="DV21" s="25" t="s">
        <v>537</v>
      </c>
      <c r="DW21" s="73">
        <v>60000</v>
      </c>
      <c r="DX21" s="73">
        <v>33000</v>
      </c>
      <c r="DY21" s="25">
        <v>0.3</v>
      </c>
      <c r="EB21" s="186" t="s">
        <v>917</v>
      </c>
      <c r="EC21" s="186" t="s">
        <v>918</v>
      </c>
      <c r="ED21" s="186" t="s">
        <v>69</v>
      </c>
      <c r="EE21" s="231">
        <v>100300</v>
      </c>
      <c r="EF21" s="231">
        <v>40200</v>
      </c>
      <c r="EG21" s="189">
        <v>0.3</v>
      </c>
      <c r="EI21" s="93" t="s">
        <v>919</v>
      </c>
      <c r="EJ21" s="25" t="s">
        <v>748</v>
      </c>
      <c r="EK21" s="130" t="s">
        <v>920</v>
      </c>
      <c r="EL21" s="25" t="s">
        <v>53</v>
      </c>
      <c r="EM21" s="245">
        <v>145000</v>
      </c>
      <c r="EN21" s="245">
        <v>52890</v>
      </c>
      <c r="EO21" s="31">
        <v>0.5</v>
      </c>
      <c r="EQ21" s="54" t="s">
        <v>921</v>
      </c>
      <c r="ER21" s="25" t="s">
        <v>922</v>
      </c>
      <c r="ES21" s="25" t="s">
        <v>923</v>
      </c>
      <c r="ET21" s="25" t="s">
        <v>81</v>
      </c>
      <c r="EU21" s="337">
        <v>12200</v>
      </c>
      <c r="EV21" s="337">
        <v>5990</v>
      </c>
      <c r="EW21" s="31">
        <v>0</v>
      </c>
      <c r="EZ21" s="25" t="s">
        <v>644</v>
      </c>
      <c r="FA21" s="25" t="s">
        <v>610</v>
      </c>
      <c r="FB21" s="25" t="s">
        <v>299</v>
      </c>
      <c r="FC21" s="222">
        <v>65400</v>
      </c>
      <c r="FD21" s="222">
        <f t="shared" si="3"/>
        <v>42510</v>
      </c>
      <c r="FE21" s="25">
        <v>0.24</v>
      </c>
      <c r="FP21" s="23" t="s">
        <v>369</v>
      </c>
      <c r="FS21" s="140"/>
      <c r="FT21" s="140"/>
      <c r="GE21" s="249" t="s">
        <v>924</v>
      </c>
      <c r="GF21" s="322" t="s">
        <v>878</v>
      </c>
      <c r="GG21" s="224" t="s">
        <v>925</v>
      </c>
      <c r="GH21" s="322" t="s">
        <v>73</v>
      </c>
      <c r="GI21" s="244">
        <v>1592000</v>
      </c>
      <c r="GJ21" s="323">
        <v>616300</v>
      </c>
      <c r="GK21" s="31">
        <v>1.45</v>
      </c>
      <c r="GM21" s="125" t="s">
        <v>926</v>
      </c>
      <c r="GN21" s="126" t="s">
        <v>685</v>
      </c>
      <c r="GO21" s="126" t="s">
        <v>927</v>
      </c>
      <c r="GP21" s="322" t="s">
        <v>73</v>
      </c>
      <c r="GQ21" s="245">
        <v>4017000</v>
      </c>
      <c r="GR21" s="326">
        <v>1204760</v>
      </c>
      <c r="GS21" s="127">
        <v>3.1</v>
      </c>
      <c r="GV21" s="25" t="s">
        <v>242</v>
      </c>
      <c r="GW21" s="25" t="s">
        <v>914</v>
      </c>
      <c r="GX21" s="25" t="s">
        <v>81</v>
      </c>
      <c r="GY21" s="326">
        <f>ROUND(GZ21/0.33,-3)</f>
        <v>116000</v>
      </c>
      <c r="GZ21" s="326">
        <v>38200</v>
      </c>
      <c r="HA21" s="31">
        <v>0.72</v>
      </c>
      <c r="HC21" s="54"/>
      <c r="HG21" s="61"/>
      <c r="HH21" s="61"/>
    </row>
    <row r="22" spans="2:216">
      <c r="B22" s="25">
        <v>21</v>
      </c>
      <c r="C22" s="25" t="s">
        <v>272</v>
      </c>
      <c r="D22" s="25" t="s">
        <v>928</v>
      </c>
      <c r="E22" s="25" t="s">
        <v>929</v>
      </c>
      <c r="K22" s="248" t="s">
        <v>930</v>
      </c>
      <c r="L22" s="25" t="s">
        <v>248</v>
      </c>
      <c r="M22" s="237" t="s">
        <v>931</v>
      </c>
      <c r="N22" s="322" t="s">
        <v>73</v>
      </c>
      <c r="O22" s="225">
        <v>2623000</v>
      </c>
      <c r="P22" s="323">
        <v>1068730</v>
      </c>
      <c r="Q22" s="31">
        <v>2.8</v>
      </c>
      <c r="R22" s="72"/>
      <c r="S22" s="249" t="s">
        <v>932</v>
      </c>
      <c r="T22" s="322" t="s">
        <v>889</v>
      </c>
      <c r="U22" s="25" t="s">
        <v>933</v>
      </c>
      <c r="V22" s="322" t="s">
        <v>73</v>
      </c>
      <c r="W22" s="225">
        <v>413000</v>
      </c>
      <c r="X22" s="323">
        <v>177140</v>
      </c>
      <c r="Y22" s="31">
        <v>0.7</v>
      </c>
      <c r="AI22" s="327" t="s">
        <v>934</v>
      </c>
      <c r="AJ22" s="25" t="s">
        <v>404</v>
      </c>
      <c r="AK22" s="322" t="s">
        <v>935</v>
      </c>
      <c r="AL22" s="322" t="s">
        <v>73</v>
      </c>
      <c r="AM22" s="326">
        <v>4118000</v>
      </c>
      <c r="AN22" s="326">
        <v>1012010</v>
      </c>
      <c r="AO22" s="29">
        <v>3</v>
      </c>
      <c r="AR22" s="23" t="s">
        <v>369</v>
      </c>
      <c r="AW22" s="25" t="s">
        <v>936</v>
      </c>
      <c r="BP22" s="322" t="s">
        <v>268</v>
      </c>
      <c r="BQ22" s="25" t="s">
        <v>937</v>
      </c>
      <c r="BR22" s="25" t="s">
        <v>81</v>
      </c>
      <c r="BS22" s="326">
        <f t="shared" si="9"/>
        <v>81000</v>
      </c>
      <c r="BT22" s="326">
        <v>32200</v>
      </c>
      <c r="BU22" s="31">
        <v>0.52</v>
      </c>
      <c r="BV22" s="255"/>
      <c r="CV22" s="123" t="s">
        <v>276</v>
      </c>
      <c r="CW22" s="123" t="s">
        <v>938</v>
      </c>
      <c r="CX22" s="123" t="s">
        <v>278</v>
      </c>
      <c r="CY22" s="252">
        <v>289000</v>
      </c>
      <c r="CZ22" s="253">
        <f t="shared" si="4"/>
        <v>153170</v>
      </c>
      <c r="DA22" s="90">
        <v>0.8</v>
      </c>
      <c r="DQ22" s="28"/>
      <c r="DT22" s="25" t="s">
        <v>535</v>
      </c>
      <c r="DU22" s="25" t="s">
        <v>939</v>
      </c>
      <c r="DV22" s="25" t="s">
        <v>537</v>
      </c>
      <c r="DW22" s="73">
        <v>60000</v>
      </c>
      <c r="DX22" s="73">
        <v>33000</v>
      </c>
      <c r="DY22" s="25">
        <v>0.3</v>
      </c>
      <c r="EB22" s="186" t="s">
        <v>917</v>
      </c>
      <c r="EC22" s="186" t="s">
        <v>940</v>
      </c>
      <c r="ED22" s="186" t="s">
        <v>290</v>
      </c>
      <c r="EE22" s="231">
        <v>98800</v>
      </c>
      <c r="EF22" s="231">
        <v>36300</v>
      </c>
      <c r="EG22" s="189">
        <v>0.3</v>
      </c>
      <c r="EI22" s="134" t="s">
        <v>941</v>
      </c>
      <c r="EJ22" s="25" t="s">
        <v>748</v>
      </c>
      <c r="EK22" s="91" t="s">
        <v>942</v>
      </c>
      <c r="EL22" s="25" t="s">
        <v>53</v>
      </c>
      <c r="EM22" s="245">
        <v>147000</v>
      </c>
      <c r="EN22" s="245">
        <v>64190</v>
      </c>
      <c r="EO22" s="31">
        <v>0.7</v>
      </c>
      <c r="EQ22" s="54" t="s">
        <v>943</v>
      </c>
      <c r="ER22" s="25" t="s">
        <v>944</v>
      </c>
      <c r="ES22" s="25" t="s">
        <v>945</v>
      </c>
      <c r="ET22" s="25" t="s">
        <v>81</v>
      </c>
      <c r="EU22" s="337">
        <v>15300</v>
      </c>
      <c r="EV22" s="337">
        <v>7930</v>
      </c>
      <c r="EW22" s="31">
        <v>0</v>
      </c>
      <c r="EZ22" s="25" t="s">
        <v>946</v>
      </c>
      <c r="FA22" s="25" t="s">
        <v>298</v>
      </c>
      <c r="FB22" s="25" t="s">
        <v>947</v>
      </c>
      <c r="FC22" s="222">
        <v>4300</v>
      </c>
      <c r="FD22" s="222">
        <f t="shared" si="3"/>
        <v>2795</v>
      </c>
      <c r="FE22" s="25">
        <v>0.16</v>
      </c>
      <c r="FG22" s="185" t="s">
        <v>948</v>
      </c>
      <c r="FH22" s="25" t="s">
        <v>949</v>
      </c>
      <c r="FI22" s="25" t="s">
        <v>950</v>
      </c>
      <c r="FJ22" s="322" t="s">
        <v>73</v>
      </c>
      <c r="FK22" s="246">
        <v>2911000</v>
      </c>
      <c r="FL22" s="329">
        <v>1060000</v>
      </c>
      <c r="FO22" s="238"/>
      <c r="FP22" s="141" t="s">
        <v>248</v>
      </c>
      <c r="FQ22" s="224" t="s">
        <v>951</v>
      </c>
      <c r="FR22" s="322" t="s">
        <v>73</v>
      </c>
      <c r="FS22" s="225">
        <v>2975000</v>
      </c>
      <c r="FT22" s="225">
        <v>1030240</v>
      </c>
      <c r="FU22" s="50">
        <v>2.8</v>
      </c>
      <c r="GE22" s="249" t="s">
        <v>952</v>
      </c>
      <c r="GF22" s="322" t="s">
        <v>878</v>
      </c>
      <c r="GG22" s="224" t="s">
        <v>953</v>
      </c>
      <c r="GH22" s="322" t="s">
        <v>73</v>
      </c>
      <c r="GI22" s="244">
        <v>1606000</v>
      </c>
      <c r="GJ22" s="225">
        <v>615630</v>
      </c>
      <c r="GK22" s="31">
        <v>1.45</v>
      </c>
      <c r="GM22" s="125" t="s">
        <v>954</v>
      </c>
      <c r="GN22" s="126" t="s">
        <v>685</v>
      </c>
      <c r="GO22" s="126" t="s">
        <v>955</v>
      </c>
      <c r="GP22" s="322" t="s">
        <v>73</v>
      </c>
      <c r="GQ22" s="245">
        <v>3721000</v>
      </c>
      <c r="GR22" s="326">
        <v>1106190</v>
      </c>
      <c r="GS22" s="127">
        <v>3.1</v>
      </c>
      <c r="GV22" s="25" t="s">
        <v>242</v>
      </c>
      <c r="GW22" s="25" t="s">
        <v>937</v>
      </c>
      <c r="GX22" s="25" t="s">
        <v>81</v>
      </c>
      <c r="GY22" s="326">
        <f t="shared" ref="GY22:GY55" si="10">ROUND(GZ22/0.33,-3)</f>
        <v>103000</v>
      </c>
      <c r="GZ22" s="326">
        <v>34100</v>
      </c>
      <c r="HA22" s="31">
        <v>0.52</v>
      </c>
      <c r="HC22" s="54"/>
      <c r="HG22" s="61"/>
      <c r="HH22" s="61"/>
    </row>
    <row r="23" spans="2:216">
      <c r="B23" s="25">
        <v>22</v>
      </c>
      <c r="C23" s="25" t="s">
        <v>274</v>
      </c>
      <c r="D23" s="25" t="s">
        <v>956</v>
      </c>
      <c r="E23" s="26" t="s">
        <v>957</v>
      </c>
      <c r="K23" s="248" t="s">
        <v>958</v>
      </c>
      <c r="L23" s="25" t="s">
        <v>248</v>
      </c>
      <c r="M23" s="237" t="s">
        <v>959</v>
      </c>
      <c r="N23" s="322" t="s">
        <v>73</v>
      </c>
      <c r="O23" s="225">
        <v>2572000</v>
      </c>
      <c r="P23" s="323">
        <v>1024260</v>
      </c>
      <c r="Q23" s="31">
        <v>2.8</v>
      </c>
      <c r="R23" s="72"/>
      <c r="S23" s="249" t="s">
        <v>960</v>
      </c>
      <c r="T23" s="322" t="s">
        <v>889</v>
      </c>
      <c r="U23" s="25" t="s">
        <v>961</v>
      </c>
      <c r="V23" s="322" t="s">
        <v>73</v>
      </c>
      <c r="W23" s="225">
        <v>537000</v>
      </c>
      <c r="X23" s="323">
        <v>240490</v>
      </c>
      <c r="Y23" s="31">
        <v>0.9</v>
      </c>
      <c r="AI23" s="327" t="s">
        <v>962</v>
      </c>
      <c r="AJ23" s="25" t="s">
        <v>404</v>
      </c>
      <c r="AK23" s="322" t="s">
        <v>963</v>
      </c>
      <c r="AL23" s="322" t="s">
        <v>73</v>
      </c>
      <c r="AM23" s="326">
        <v>4118000</v>
      </c>
      <c r="AN23" s="326">
        <v>1011880</v>
      </c>
      <c r="AO23" s="29">
        <v>3</v>
      </c>
      <c r="AQ23" s="124" t="s">
        <v>964</v>
      </c>
      <c r="AR23" s="25" t="s">
        <v>260</v>
      </c>
      <c r="AS23" s="130" t="s">
        <v>965</v>
      </c>
      <c r="AT23" s="322" t="s">
        <v>73</v>
      </c>
      <c r="AU23" s="245">
        <v>1900000</v>
      </c>
      <c r="AV23" s="326">
        <v>520580</v>
      </c>
      <c r="AW23" s="31">
        <v>1.3</v>
      </c>
      <c r="BP23" s="322" t="s">
        <v>268</v>
      </c>
      <c r="BQ23" s="25" t="s">
        <v>966</v>
      </c>
      <c r="BR23" s="25" t="s">
        <v>81</v>
      </c>
      <c r="BS23" s="326">
        <f t="shared" si="9"/>
        <v>78000</v>
      </c>
      <c r="BT23" s="326">
        <v>31200</v>
      </c>
      <c r="BU23" s="31">
        <v>0.46</v>
      </c>
      <c r="BV23" s="255"/>
      <c r="CV23" s="123" t="s">
        <v>276</v>
      </c>
      <c r="CW23" s="123" t="s">
        <v>967</v>
      </c>
      <c r="CX23" s="123" t="s">
        <v>278</v>
      </c>
      <c r="CY23" s="252">
        <v>362000</v>
      </c>
      <c r="CZ23" s="253">
        <f t="shared" si="4"/>
        <v>191860</v>
      </c>
      <c r="DA23" s="90">
        <v>0.8</v>
      </c>
      <c r="DQ23" s="28"/>
      <c r="DT23" s="25" t="s">
        <v>535</v>
      </c>
      <c r="DU23" s="25" t="s">
        <v>968</v>
      </c>
      <c r="DV23" s="25" t="s">
        <v>537</v>
      </c>
      <c r="DW23" s="73">
        <v>80000</v>
      </c>
      <c r="DX23" s="73">
        <v>44000</v>
      </c>
      <c r="DY23" s="25">
        <v>0.3</v>
      </c>
      <c r="EB23" s="186" t="s">
        <v>917</v>
      </c>
      <c r="EC23" s="186" t="s">
        <v>969</v>
      </c>
      <c r="ED23" s="186" t="s">
        <v>290</v>
      </c>
      <c r="EE23" s="231">
        <v>394500</v>
      </c>
      <c r="EF23" s="231">
        <v>236700</v>
      </c>
      <c r="EG23" s="189">
        <v>1</v>
      </c>
      <c r="EJ23" s="23" t="s">
        <v>334</v>
      </c>
      <c r="EQ23" s="54" t="s">
        <v>970</v>
      </c>
      <c r="ER23" s="25" t="s">
        <v>944</v>
      </c>
      <c r="ES23" s="25" t="s">
        <v>971</v>
      </c>
      <c r="ET23" s="25" t="s">
        <v>81</v>
      </c>
      <c r="EU23" s="337">
        <v>21800</v>
      </c>
      <c r="EV23" s="337">
        <v>11770</v>
      </c>
      <c r="EW23" s="31">
        <v>0</v>
      </c>
      <c r="EZ23" s="25" t="s">
        <v>946</v>
      </c>
      <c r="FA23" s="25" t="s">
        <v>347</v>
      </c>
      <c r="FB23" s="25" t="s">
        <v>947</v>
      </c>
      <c r="FC23" s="222">
        <v>5100</v>
      </c>
      <c r="FD23" s="222">
        <f t="shared" si="3"/>
        <v>3315</v>
      </c>
      <c r="FE23" s="25">
        <v>0.18</v>
      </c>
      <c r="FH23" s="23" t="s">
        <v>80</v>
      </c>
      <c r="FO23" s="238"/>
      <c r="FP23" s="141" t="s">
        <v>248</v>
      </c>
      <c r="FQ23" s="224" t="s">
        <v>972</v>
      </c>
      <c r="FR23" s="322" t="s">
        <v>73</v>
      </c>
      <c r="FS23" s="225">
        <v>2969000</v>
      </c>
      <c r="FT23" s="226">
        <v>1014370</v>
      </c>
      <c r="FU23" s="50">
        <v>2.8</v>
      </c>
      <c r="GE23" s="249" t="s">
        <v>973</v>
      </c>
      <c r="GF23" s="322" t="s">
        <v>878</v>
      </c>
      <c r="GG23" s="239" t="s">
        <v>974</v>
      </c>
      <c r="GH23" s="322" t="s">
        <v>73</v>
      </c>
      <c r="GI23" s="244">
        <v>1554000</v>
      </c>
      <c r="GJ23" s="225">
        <v>593350</v>
      </c>
      <c r="GK23" s="31">
        <v>1.45</v>
      </c>
      <c r="GV23" s="25" t="s">
        <v>242</v>
      </c>
      <c r="GW23" s="25" t="s">
        <v>966</v>
      </c>
      <c r="GX23" s="25" t="s">
        <v>81</v>
      </c>
      <c r="GY23" s="326">
        <f t="shared" si="10"/>
        <v>99000</v>
      </c>
      <c r="GZ23" s="326">
        <v>32800</v>
      </c>
      <c r="HA23" s="31">
        <v>0.46</v>
      </c>
      <c r="HC23" s="54"/>
      <c r="HG23" s="61"/>
      <c r="HH23" s="61"/>
    </row>
    <row r="24" spans="2:216">
      <c r="B24" s="25">
        <v>23</v>
      </c>
      <c r="C24" s="25" t="s">
        <v>975</v>
      </c>
      <c r="D24" s="25" t="s">
        <v>976</v>
      </c>
      <c r="E24" s="25" t="s">
        <v>185</v>
      </c>
      <c r="K24" s="324" t="s">
        <v>977</v>
      </c>
      <c r="L24" s="25" t="s">
        <v>248</v>
      </c>
      <c r="M24" s="237" t="s">
        <v>978</v>
      </c>
      <c r="N24" s="322" t="s">
        <v>73</v>
      </c>
      <c r="O24" s="225">
        <v>2623000</v>
      </c>
      <c r="P24" s="323">
        <v>1153380</v>
      </c>
      <c r="Q24" s="31">
        <v>2.8</v>
      </c>
      <c r="R24" s="72"/>
      <c r="T24" s="23" t="s">
        <v>369</v>
      </c>
      <c r="V24" s="322"/>
      <c r="W24" s="227"/>
      <c r="AI24" s="327" t="s">
        <v>979</v>
      </c>
      <c r="AJ24" s="25" t="s">
        <v>404</v>
      </c>
      <c r="AK24" s="322" t="s">
        <v>980</v>
      </c>
      <c r="AL24" s="322" t="s">
        <v>73</v>
      </c>
      <c r="AM24" s="326">
        <v>4118000</v>
      </c>
      <c r="AN24" s="326">
        <v>1011880</v>
      </c>
      <c r="AO24" s="29">
        <v>3</v>
      </c>
      <c r="AQ24" s="124" t="s">
        <v>981</v>
      </c>
      <c r="AR24" s="25" t="s">
        <v>260</v>
      </c>
      <c r="AS24" s="130" t="s">
        <v>982</v>
      </c>
      <c r="AT24" s="322" t="s">
        <v>73</v>
      </c>
      <c r="AU24" s="245">
        <v>1974000</v>
      </c>
      <c r="AV24" s="326">
        <v>564960</v>
      </c>
      <c r="AW24" s="31">
        <v>1.4</v>
      </c>
      <c r="BP24" s="322" t="s">
        <v>268</v>
      </c>
      <c r="BQ24" s="25" t="s">
        <v>983</v>
      </c>
      <c r="BR24" s="25" t="s">
        <v>81</v>
      </c>
      <c r="BS24" s="326">
        <f t="shared" si="9"/>
        <v>75000</v>
      </c>
      <c r="BT24" s="326">
        <v>30000</v>
      </c>
      <c r="BU24" s="31">
        <v>0.4</v>
      </c>
      <c r="BV24" s="255"/>
      <c r="CV24" s="123" t="s">
        <v>276</v>
      </c>
      <c r="CW24" s="123" t="s">
        <v>984</v>
      </c>
      <c r="CX24" s="123" t="s">
        <v>278</v>
      </c>
      <c r="CY24" s="252">
        <v>440000</v>
      </c>
      <c r="CZ24" s="253">
        <f t="shared" si="4"/>
        <v>233200</v>
      </c>
      <c r="DA24" s="90">
        <v>0.8</v>
      </c>
      <c r="DT24" s="25" t="s">
        <v>535</v>
      </c>
      <c r="DU24" s="25" t="s">
        <v>985</v>
      </c>
      <c r="DV24" s="25" t="s">
        <v>537</v>
      </c>
      <c r="DW24" s="73">
        <v>80000</v>
      </c>
      <c r="DX24" s="73">
        <v>44000</v>
      </c>
      <c r="DY24" s="25">
        <v>0.3</v>
      </c>
      <c r="EB24" s="186" t="s">
        <v>986</v>
      </c>
      <c r="EC24" s="32" t="s">
        <v>987</v>
      </c>
      <c r="ED24" s="186" t="s">
        <v>290</v>
      </c>
      <c r="EE24" s="231">
        <v>128400</v>
      </c>
      <c r="EF24" s="231">
        <v>77040</v>
      </c>
      <c r="EG24" s="189">
        <v>2.2999999999999998</v>
      </c>
      <c r="EI24" s="55" t="s">
        <v>988</v>
      </c>
      <c r="EJ24" s="25" t="s">
        <v>989</v>
      </c>
      <c r="EK24" s="135" t="s">
        <v>990</v>
      </c>
      <c r="EL24" s="25" t="s">
        <v>991</v>
      </c>
      <c r="EM24" s="227">
        <v>8470</v>
      </c>
      <c r="EN24" s="326">
        <v>2090</v>
      </c>
      <c r="EO24" s="31">
        <v>0.1</v>
      </c>
      <c r="EQ24" s="54" t="s">
        <v>992</v>
      </c>
      <c r="ER24" s="25" t="s">
        <v>944</v>
      </c>
      <c r="ES24" s="25" t="s">
        <v>993</v>
      </c>
      <c r="ET24" s="25" t="s">
        <v>81</v>
      </c>
      <c r="EU24" s="337">
        <v>29200</v>
      </c>
      <c r="EV24" s="337">
        <v>15760</v>
      </c>
      <c r="EW24" s="31">
        <v>0</v>
      </c>
      <c r="EZ24" s="25" t="s">
        <v>946</v>
      </c>
      <c r="FA24" s="25" t="s">
        <v>387</v>
      </c>
      <c r="FB24" s="25" t="s">
        <v>947</v>
      </c>
      <c r="FC24" s="222">
        <v>6400</v>
      </c>
      <c r="FD24" s="222">
        <f t="shared" si="3"/>
        <v>4160</v>
      </c>
      <c r="FE24" s="25">
        <v>0.18</v>
      </c>
      <c r="GE24" s="249" t="s">
        <v>994</v>
      </c>
      <c r="GF24" s="322" t="s">
        <v>878</v>
      </c>
      <c r="GG24" s="224" t="s">
        <v>995</v>
      </c>
      <c r="GH24" s="322" t="s">
        <v>73</v>
      </c>
      <c r="GI24" s="244">
        <v>1919000</v>
      </c>
      <c r="GJ24" s="323">
        <v>735170</v>
      </c>
      <c r="GK24" s="31">
        <v>1.7</v>
      </c>
      <c r="GV24" s="25" t="s">
        <v>242</v>
      </c>
      <c r="GW24" s="25" t="s">
        <v>983</v>
      </c>
      <c r="GX24" s="25" t="s">
        <v>81</v>
      </c>
      <c r="GY24" s="326">
        <f t="shared" si="10"/>
        <v>95000</v>
      </c>
      <c r="GZ24" s="326">
        <v>31400</v>
      </c>
      <c r="HA24" s="31">
        <v>0.4</v>
      </c>
      <c r="HC24" s="54"/>
      <c r="HG24" s="61"/>
      <c r="HH24" s="61"/>
    </row>
    <row r="25" spans="2:216">
      <c r="B25" s="25">
        <v>24</v>
      </c>
      <c r="C25" s="25" t="s">
        <v>996</v>
      </c>
      <c r="D25" s="25" t="s">
        <v>997</v>
      </c>
      <c r="E25" s="25" t="s">
        <v>998</v>
      </c>
      <c r="K25" s="324" t="s">
        <v>999</v>
      </c>
      <c r="L25" s="25" t="s">
        <v>248</v>
      </c>
      <c r="M25" s="237" t="s">
        <v>1000</v>
      </c>
      <c r="N25" s="322" t="s">
        <v>73</v>
      </c>
      <c r="O25" s="225">
        <v>2572000</v>
      </c>
      <c r="P25" s="323">
        <v>1089470</v>
      </c>
      <c r="Q25" s="31">
        <v>2.8</v>
      </c>
      <c r="R25" s="72"/>
      <c r="S25" s="128" t="s">
        <v>1001</v>
      </c>
      <c r="T25" s="322" t="s">
        <v>1002</v>
      </c>
      <c r="U25" s="25" t="s">
        <v>1003</v>
      </c>
      <c r="V25" s="322" t="s">
        <v>73</v>
      </c>
      <c r="W25" s="225">
        <v>247000</v>
      </c>
      <c r="X25" s="244">
        <v>117150</v>
      </c>
      <c r="AJ25" s="23" t="s">
        <v>402</v>
      </c>
      <c r="AQ25" s="124" t="s">
        <v>1004</v>
      </c>
      <c r="AR25" s="25" t="s">
        <v>260</v>
      </c>
      <c r="AS25" s="130" t="s">
        <v>1005</v>
      </c>
      <c r="AT25" s="322" t="s">
        <v>73</v>
      </c>
      <c r="AU25" s="245">
        <v>2066000</v>
      </c>
      <c r="AV25" s="326">
        <v>564960</v>
      </c>
      <c r="AW25" s="31">
        <v>1.55</v>
      </c>
      <c r="BP25" s="322" t="s">
        <v>268</v>
      </c>
      <c r="BQ25" s="25" t="s">
        <v>1006</v>
      </c>
      <c r="BR25" s="25" t="s">
        <v>81</v>
      </c>
      <c r="BS25" s="326">
        <f t="shared" si="9"/>
        <v>74000</v>
      </c>
      <c r="BT25" s="326">
        <v>29500</v>
      </c>
      <c r="BU25" s="31">
        <v>0.36</v>
      </c>
      <c r="BV25" s="255"/>
      <c r="CV25" s="123" t="s">
        <v>276</v>
      </c>
      <c r="CW25" s="123" t="s">
        <v>1007</v>
      </c>
      <c r="CX25" s="123" t="s">
        <v>278</v>
      </c>
      <c r="CY25" s="252">
        <v>585000</v>
      </c>
      <c r="CZ25" s="253">
        <f t="shared" si="4"/>
        <v>310050</v>
      </c>
      <c r="DA25" s="90">
        <v>1.2</v>
      </c>
      <c r="DD25" s="23"/>
      <c r="DT25" s="25" t="s">
        <v>535</v>
      </c>
      <c r="DU25" s="25" t="s">
        <v>1008</v>
      </c>
      <c r="DV25" s="25" t="s">
        <v>537</v>
      </c>
      <c r="DW25" s="73">
        <v>83000</v>
      </c>
      <c r="DX25" s="73">
        <v>45700</v>
      </c>
      <c r="DY25" s="25">
        <v>0.3</v>
      </c>
      <c r="EB25" s="186" t="s">
        <v>986</v>
      </c>
      <c r="EC25" s="32" t="s">
        <v>1009</v>
      </c>
      <c r="ED25" s="186" t="s">
        <v>290</v>
      </c>
      <c r="EE25" s="231">
        <v>233300</v>
      </c>
      <c r="EF25" s="231">
        <v>116650</v>
      </c>
      <c r="EG25" s="189">
        <v>2.2999999999999998</v>
      </c>
      <c r="EI25" s="55" t="s">
        <v>1010</v>
      </c>
      <c r="EJ25" s="25" t="s">
        <v>989</v>
      </c>
      <c r="EK25" s="135" t="s">
        <v>1011</v>
      </c>
      <c r="EL25" s="25" t="s">
        <v>991</v>
      </c>
      <c r="EM25" s="227">
        <v>9930</v>
      </c>
      <c r="EN25" s="326">
        <v>2290</v>
      </c>
      <c r="EO25" s="31">
        <v>0.1</v>
      </c>
      <c r="EQ25" s="54" t="s">
        <v>1012</v>
      </c>
      <c r="ER25" s="25" t="s">
        <v>944</v>
      </c>
      <c r="ES25" s="25" t="s">
        <v>1013</v>
      </c>
      <c r="ET25" s="25" t="s">
        <v>81</v>
      </c>
      <c r="EU25" s="337">
        <v>35400</v>
      </c>
      <c r="EV25" s="337">
        <v>19430</v>
      </c>
      <c r="EW25" s="31">
        <v>0</v>
      </c>
      <c r="EZ25" s="25" t="s">
        <v>946</v>
      </c>
      <c r="FA25" s="25" t="s">
        <v>427</v>
      </c>
      <c r="FB25" s="25" t="s">
        <v>947</v>
      </c>
      <c r="FC25" s="222">
        <v>9000</v>
      </c>
      <c r="FD25" s="222">
        <f t="shared" si="3"/>
        <v>5850</v>
      </c>
      <c r="FE25" s="25">
        <v>0.18</v>
      </c>
      <c r="GE25" s="249" t="s">
        <v>1014</v>
      </c>
      <c r="GF25" s="322" t="s">
        <v>878</v>
      </c>
      <c r="GG25" s="224" t="s">
        <v>1015</v>
      </c>
      <c r="GH25" s="322" t="s">
        <v>73</v>
      </c>
      <c r="GI25" s="244">
        <v>1969000</v>
      </c>
      <c r="GJ25" s="323">
        <v>763820</v>
      </c>
      <c r="GK25" s="31">
        <v>1.7</v>
      </c>
      <c r="GV25" s="25" t="s">
        <v>242</v>
      </c>
      <c r="GW25" s="25" t="s">
        <v>1006</v>
      </c>
      <c r="GX25" s="25" t="s">
        <v>81</v>
      </c>
      <c r="GY25" s="326">
        <f t="shared" si="10"/>
        <v>94000</v>
      </c>
      <c r="GZ25" s="326">
        <v>30900</v>
      </c>
      <c r="HA25" s="31">
        <v>0.36</v>
      </c>
      <c r="HC25" s="54"/>
      <c r="HG25" s="61"/>
      <c r="HH25" s="61"/>
    </row>
    <row r="26" spans="2:216">
      <c r="B26" s="25">
        <v>25</v>
      </c>
      <c r="C26" s="25" t="s">
        <v>237</v>
      </c>
      <c r="D26" s="25" t="s">
        <v>1016</v>
      </c>
      <c r="E26" s="25" t="s">
        <v>1017</v>
      </c>
      <c r="K26" s="55"/>
      <c r="L26" s="23" t="s">
        <v>369</v>
      </c>
      <c r="R26" s="72"/>
      <c r="S26" s="128" t="s">
        <v>1018</v>
      </c>
      <c r="T26" s="25" t="s">
        <v>1019</v>
      </c>
      <c r="U26" s="25" t="s">
        <v>1020</v>
      </c>
      <c r="V26" s="129" t="s">
        <v>53</v>
      </c>
      <c r="W26" s="225">
        <v>48600</v>
      </c>
      <c r="X26" s="244">
        <v>19220</v>
      </c>
      <c r="AI26" s="124" t="s">
        <v>1021</v>
      </c>
      <c r="AJ26" s="25" t="s">
        <v>404</v>
      </c>
      <c r="AK26" s="126" t="s">
        <v>1022</v>
      </c>
      <c r="AL26" s="322" t="s">
        <v>73</v>
      </c>
      <c r="AM26" s="326">
        <v>5177000</v>
      </c>
      <c r="AN26" s="326">
        <v>1401900</v>
      </c>
      <c r="AO26" s="57">
        <v>3</v>
      </c>
      <c r="AQ26" s="124" t="s">
        <v>1023</v>
      </c>
      <c r="AR26" s="25" t="s">
        <v>260</v>
      </c>
      <c r="AS26" s="130" t="s">
        <v>1024</v>
      </c>
      <c r="AT26" s="322" t="s">
        <v>73</v>
      </c>
      <c r="AU26" s="245">
        <v>2188000</v>
      </c>
      <c r="AV26" s="326">
        <v>633350</v>
      </c>
      <c r="AW26" s="31">
        <v>1.65</v>
      </c>
      <c r="BP26" s="322" t="s">
        <v>268</v>
      </c>
      <c r="BQ26" s="25" t="s">
        <v>1025</v>
      </c>
      <c r="BR26" s="25" t="s">
        <v>81</v>
      </c>
      <c r="BS26" s="326">
        <f t="shared" si="9"/>
        <v>70000</v>
      </c>
      <c r="BT26" s="326">
        <v>27900</v>
      </c>
      <c r="BU26" s="31">
        <v>0.26</v>
      </c>
      <c r="BV26" s="255"/>
      <c r="CV26" s="78" t="s">
        <v>334</v>
      </c>
      <c r="CW26" s="78"/>
      <c r="CX26" s="78"/>
      <c r="CY26" s="96"/>
      <c r="CZ26" s="84"/>
      <c r="DA26" s="89"/>
      <c r="DT26" s="23" t="s">
        <v>369</v>
      </c>
      <c r="EB26" s="186" t="s">
        <v>986</v>
      </c>
      <c r="EC26" s="186" t="s">
        <v>1026</v>
      </c>
      <c r="ED26" s="186" t="s">
        <v>290</v>
      </c>
      <c r="EE26" s="184">
        <v>280000</v>
      </c>
      <c r="EF26" s="184">
        <v>68750</v>
      </c>
      <c r="EG26" s="189">
        <v>5</v>
      </c>
      <c r="EI26" s="55" t="s">
        <v>1027</v>
      </c>
      <c r="EJ26" s="25" t="s">
        <v>989</v>
      </c>
      <c r="EK26" s="135" t="s">
        <v>1028</v>
      </c>
      <c r="EL26" s="25" t="s">
        <v>991</v>
      </c>
      <c r="EM26" s="227">
        <v>11300</v>
      </c>
      <c r="EN26" s="326">
        <v>1880</v>
      </c>
      <c r="EO26" s="31">
        <v>0.1</v>
      </c>
      <c r="EQ26" s="54" t="s">
        <v>1029</v>
      </c>
      <c r="ER26" s="25" t="s">
        <v>944</v>
      </c>
      <c r="ES26" s="25" t="s">
        <v>1030</v>
      </c>
      <c r="ET26" s="25" t="s">
        <v>81</v>
      </c>
      <c r="EU26" s="337">
        <v>69400</v>
      </c>
      <c r="EV26" s="337">
        <v>38790</v>
      </c>
      <c r="EW26" s="31">
        <v>0</v>
      </c>
      <c r="EZ26" s="25" t="s">
        <v>946</v>
      </c>
      <c r="FA26" s="25" t="s">
        <v>468</v>
      </c>
      <c r="FB26" s="25" t="s">
        <v>947</v>
      </c>
      <c r="FC26" s="222">
        <v>11300</v>
      </c>
      <c r="FD26" s="222">
        <f t="shared" si="3"/>
        <v>7345</v>
      </c>
      <c r="FE26" s="25">
        <v>0.19</v>
      </c>
      <c r="GE26" s="249" t="s">
        <v>1031</v>
      </c>
      <c r="GF26" s="322" t="s">
        <v>878</v>
      </c>
      <c r="GG26" s="224" t="s">
        <v>1032</v>
      </c>
      <c r="GH26" s="322" t="s">
        <v>73</v>
      </c>
      <c r="GI26" s="244">
        <v>1877000</v>
      </c>
      <c r="GJ26" s="225">
        <v>693090</v>
      </c>
      <c r="GK26" s="31">
        <v>1.7</v>
      </c>
      <c r="GV26" s="25" t="s">
        <v>242</v>
      </c>
      <c r="GW26" s="25" t="s">
        <v>1025</v>
      </c>
      <c r="GX26" s="25" t="s">
        <v>81</v>
      </c>
      <c r="GY26" s="326">
        <f t="shared" si="10"/>
        <v>87000</v>
      </c>
      <c r="GZ26" s="326">
        <v>28800</v>
      </c>
      <c r="HA26" s="31">
        <v>0.26</v>
      </c>
      <c r="HC26" s="54"/>
      <c r="HG26" s="61"/>
      <c r="HH26" s="61"/>
    </row>
    <row r="27" spans="2:216">
      <c r="B27" s="25">
        <v>26</v>
      </c>
      <c r="C27" s="25" t="s">
        <v>1033</v>
      </c>
      <c r="D27" s="25" t="s">
        <v>1034</v>
      </c>
      <c r="E27" s="25" t="s">
        <v>1035</v>
      </c>
      <c r="K27" s="328" t="s">
        <v>1036</v>
      </c>
      <c r="L27" s="322" t="s">
        <v>1037</v>
      </c>
      <c r="M27" s="331" t="s">
        <v>1038</v>
      </c>
      <c r="N27" s="322" t="s">
        <v>73</v>
      </c>
      <c r="O27" s="323">
        <v>797000</v>
      </c>
      <c r="P27" s="333">
        <v>383340</v>
      </c>
      <c r="Q27" s="344">
        <v>1.25</v>
      </c>
      <c r="R27" s="72"/>
      <c r="S27" s="249" t="s">
        <v>1039</v>
      </c>
      <c r="T27" s="322" t="s">
        <v>1002</v>
      </c>
      <c r="U27" s="25" t="s">
        <v>1040</v>
      </c>
      <c r="V27" s="322" t="s">
        <v>73</v>
      </c>
      <c r="W27" s="225">
        <v>501000</v>
      </c>
      <c r="X27" s="244">
        <v>279060</v>
      </c>
      <c r="Y27" s="31">
        <v>0.5</v>
      </c>
      <c r="AI27" s="124" t="s">
        <v>1041</v>
      </c>
      <c r="AJ27" s="25" t="s">
        <v>404</v>
      </c>
      <c r="AK27" s="126" t="s">
        <v>1042</v>
      </c>
      <c r="AL27" s="322" t="s">
        <v>73</v>
      </c>
      <c r="AM27" s="326">
        <v>5177000</v>
      </c>
      <c r="AN27" s="326">
        <v>1399060</v>
      </c>
      <c r="AO27" s="57">
        <v>3</v>
      </c>
      <c r="AQ27" s="124" t="s">
        <v>1043</v>
      </c>
      <c r="AR27" s="25" t="s">
        <v>260</v>
      </c>
      <c r="AS27" s="130" t="s">
        <v>1044</v>
      </c>
      <c r="AT27" s="322" t="s">
        <v>73</v>
      </c>
      <c r="AU27" s="245">
        <v>2264000</v>
      </c>
      <c r="AV27" s="326">
        <v>639410</v>
      </c>
      <c r="AW27" s="31">
        <v>1.75</v>
      </c>
      <c r="BP27" s="322" t="s">
        <v>268</v>
      </c>
      <c r="BQ27" s="25" t="s">
        <v>1045</v>
      </c>
      <c r="BR27" s="25" t="s">
        <v>81</v>
      </c>
      <c r="BS27" s="326">
        <f t="shared" si="9"/>
        <v>68000</v>
      </c>
      <c r="BT27" s="326">
        <v>27200</v>
      </c>
      <c r="BU27" s="31">
        <v>0.2</v>
      </c>
      <c r="BV27" s="255"/>
      <c r="CV27" s="123" t="s">
        <v>276</v>
      </c>
      <c r="CW27" s="123" t="s">
        <v>1046</v>
      </c>
      <c r="CX27" s="123" t="s">
        <v>278</v>
      </c>
      <c r="CY27" s="252">
        <v>302000</v>
      </c>
      <c r="CZ27" s="253">
        <f t="shared" si="4"/>
        <v>160060</v>
      </c>
      <c r="DA27" s="90">
        <v>0.9</v>
      </c>
      <c r="DT27" s="25" t="s">
        <v>1047</v>
      </c>
      <c r="DU27" s="25" t="s">
        <v>1048</v>
      </c>
      <c r="DV27" s="25" t="s">
        <v>290</v>
      </c>
      <c r="DW27" s="73">
        <v>22000</v>
      </c>
      <c r="DX27" s="73">
        <v>12100.000000000002</v>
      </c>
      <c r="DY27" s="25">
        <v>0.3</v>
      </c>
      <c r="EI27" s="55" t="s">
        <v>1049</v>
      </c>
      <c r="EJ27" s="25" t="s">
        <v>989</v>
      </c>
      <c r="EK27" s="135" t="s">
        <v>347</v>
      </c>
      <c r="EL27" s="25" t="s">
        <v>991</v>
      </c>
      <c r="EM27" s="227">
        <v>12600</v>
      </c>
      <c r="EN27" s="326">
        <v>3340</v>
      </c>
      <c r="EO27" s="31">
        <v>0.1</v>
      </c>
      <c r="EQ27" s="54" t="s">
        <v>1050</v>
      </c>
      <c r="ER27" s="25" t="s">
        <v>944</v>
      </c>
      <c r="ES27" s="25" t="s">
        <v>1051</v>
      </c>
      <c r="ET27" s="25" t="s">
        <v>81</v>
      </c>
      <c r="EU27" s="337">
        <v>15300</v>
      </c>
      <c r="EV27" s="337">
        <v>8240</v>
      </c>
      <c r="EW27" s="31">
        <v>0</v>
      </c>
      <c r="EZ27" s="25" t="s">
        <v>946</v>
      </c>
      <c r="FA27" s="25" t="s">
        <v>504</v>
      </c>
      <c r="FB27" s="25" t="s">
        <v>947</v>
      </c>
      <c r="FC27" s="222">
        <v>15500</v>
      </c>
      <c r="FD27" s="222">
        <f t="shared" si="3"/>
        <v>10075</v>
      </c>
      <c r="FE27" s="25">
        <v>0.19</v>
      </c>
      <c r="GE27" s="249" t="s">
        <v>1052</v>
      </c>
      <c r="GF27" s="322" t="s">
        <v>878</v>
      </c>
      <c r="GG27" s="224" t="s">
        <v>1053</v>
      </c>
      <c r="GH27" s="322" t="s">
        <v>73</v>
      </c>
      <c r="GI27" s="244">
        <v>2098000</v>
      </c>
      <c r="GJ27" s="225">
        <v>824320</v>
      </c>
      <c r="GK27" s="31">
        <v>2</v>
      </c>
      <c r="GV27" s="25" t="s">
        <v>242</v>
      </c>
      <c r="GW27" s="25" t="s">
        <v>1045</v>
      </c>
      <c r="GX27" s="25" t="s">
        <v>81</v>
      </c>
      <c r="GY27" s="326">
        <f t="shared" si="10"/>
        <v>84000</v>
      </c>
      <c r="GZ27" s="326">
        <v>27600</v>
      </c>
      <c r="HA27" s="31">
        <v>0.2</v>
      </c>
      <c r="HC27" s="54"/>
      <c r="HG27" s="61"/>
      <c r="HH27" s="61"/>
    </row>
    <row r="28" spans="2:216">
      <c r="B28" s="25">
        <v>27</v>
      </c>
      <c r="C28" s="25" t="s">
        <v>1054</v>
      </c>
      <c r="D28" s="25" t="s">
        <v>1055</v>
      </c>
      <c r="E28" s="25" t="s">
        <v>117</v>
      </c>
      <c r="K28" s="328" t="s">
        <v>1056</v>
      </c>
      <c r="L28" s="332" t="s">
        <v>1037</v>
      </c>
      <c r="M28" s="331" t="s">
        <v>1057</v>
      </c>
      <c r="N28" s="322" t="s">
        <v>73</v>
      </c>
      <c r="O28" s="326">
        <v>821000</v>
      </c>
      <c r="P28" s="326">
        <v>393450</v>
      </c>
      <c r="Q28" s="344">
        <v>1.25</v>
      </c>
      <c r="R28" s="72"/>
      <c r="S28" s="249" t="s">
        <v>1058</v>
      </c>
      <c r="T28" s="322" t="s">
        <v>1002</v>
      </c>
      <c r="U28" s="25" t="s">
        <v>1059</v>
      </c>
      <c r="V28" s="322" t="s">
        <v>73</v>
      </c>
      <c r="W28" s="225">
        <v>518000</v>
      </c>
      <c r="X28" s="244">
        <v>288220</v>
      </c>
      <c r="Y28" s="31">
        <v>0.5</v>
      </c>
      <c r="AF28" s="233"/>
      <c r="AJ28" s="23" t="s">
        <v>402</v>
      </c>
      <c r="AQ28" s="124" t="s">
        <v>1060</v>
      </c>
      <c r="AR28" s="25" t="s">
        <v>260</v>
      </c>
      <c r="AS28" s="130" t="s">
        <v>1061</v>
      </c>
      <c r="AT28" s="322" t="s">
        <v>73</v>
      </c>
      <c r="AU28" s="245">
        <v>2431000</v>
      </c>
      <c r="AV28" s="326">
        <v>638120</v>
      </c>
      <c r="AW28" s="31">
        <v>1.9</v>
      </c>
      <c r="BP28" s="322" t="s">
        <v>268</v>
      </c>
      <c r="BQ28" s="25" t="s">
        <v>1062</v>
      </c>
      <c r="BR28" s="25" t="s">
        <v>81</v>
      </c>
      <c r="BS28" s="326">
        <f t="shared" si="9"/>
        <v>65000</v>
      </c>
      <c r="BT28" s="326">
        <v>25800</v>
      </c>
      <c r="BU28" s="31">
        <v>0.13</v>
      </c>
      <c r="BV28" s="255"/>
      <c r="CV28" s="123" t="s">
        <v>276</v>
      </c>
      <c r="CW28" s="123" t="s">
        <v>1063</v>
      </c>
      <c r="CX28" s="123" t="s">
        <v>278</v>
      </c>
      <c r="CY28" s="252">
        <v>351000</v>
      </c>
      <c r="CZ28" s="253">
        <f t="shared" si="4"/>
        <v>186030</v>
      </c>
      <c r="DA28" s="90">
        <v>1</v>
      </c>
      <c r="DD28" s="23"/>
      <c r="DT28" s="25" t="s">
        <v>1047</v>
      </c>
      <c r="DU28" s="25" t="s">
        <v>1064</v>
      </c>
      <c r="DV28" s="25" t="s">
        <v>290</v>
      </c>
      <c r="DW28" s="73">
        <v>37000</v>
      </c>
      <c r="DX28" s="73">
        <v>20350</v>
      </c>
      <c r="DY28" s="25">
        <v>0.5</v>
      </c>
      <c r="EI28" s="55" t="s">
        <v>1065</v>
      </c>
      <c r="EJ28" s="25" t="s">
        <v>989</v>
      </c>
      <c r="EK28" s="25" t="s">
        <v>387</v>
      </c>
      <c r="EL28" s="25" t="s">
        <v>991</v>
      </c>
      <c r="EM28" s="227">
        <v>16400</v>
      </c>
      <c r="EN28" s="326">
        <v>3440</v>
      </c>
      <c r="EO28" s="31">
        <v>0.15</v>
      </c>
      <c r="EQ28" s="54" t="s">
        <v>1066</v>
      </c>
      <c r="ER28" s="25" t="s">
        <v>944</v>
      </c>
      <c r="ES28" s="25" t="s">
        <v>1067</v>
      </c>
      <c r="ET28" s="25" t="s">
        <v>81</v>
      </c>
      <c r="EU28" s="337">
        <v>20300</v>
      </c>
      <c r="EV28" s="337">
        <v>10890</v>
      </c>
      <c r="EW28" s="31">
        <v>0</v>
      </c>
      <c r="EZ28" s="25" t="s">
        <v>946</v>
      </c>
      <c r="FA28" s="25" t="s">
        <v>847</v>
      </c>
      <c r="FB28" s="25" t="s">
        <v>947</v>
      </c>
      <c r="FC28" s="222">
        <v>18900</v>
      </c>
      <c r="FD28" s="222">
        <f t="shared" si="3"/>
        <v>12285</v>
      </c>
      <c r="FE28" s="25">
        <v>0.2</v>
      </c>
      <c r="GE28" s="249" t="s">
        <v>1068</v>
      </c>
      <c r="GF28" s="322" t="s">
        <v>878</v>
      </c>
      <c r="GG28" s="224" t="s">
        <v>1069</v>
      </c>
      <c r="GH28" s="322" t="s">
        <v>73</v>
      </c>
      <c r="GI28" s="244">
        <v>2168000</v>
      </c>
      <c r="GJ28" s="323">
        <v>902150</v>
      </c>
      <c r="GK28" s="31">
        <v>2</v>
      </c>
      <c r="GV28" s="25" t="s">
        <v>242</v>
      </c>
      <c r="GW28" s="25" t="s">
        <v>1062</v>
      </c>
      <c r="GX28" s="25" t="s">
        <v>81</v>
      </c>
      <c r="GY28" s="326">
        <f t="shared" si="10"/>
        <v>79000</v>
      </c>
      <c r="GZ28" s="326">
        <v>26200</v>
      </c>
      <c r="HA28" s="31">
        <v>0.13</v>
      </c>
      <c r="HC28" s="54"/>
      <c r="HG28" s="61"/>
      <c r="HH28" s="61"/>
    </row>
    <row r="29" spans="2:216">
      <c r="K29" s="328" t="s">
        <v>1070</v>
      </c>
      <c r="L29" s="322" t="s">
        <v>1037</v>
      </c>
      <c r="M29" s="331" t="s">
        <v>1071</v>
      </c>
      <c r="N29" s="322" t="s">
        <v>73</v>
      </c>
      <c r="O29" s="333">
        <v>982000</v>
      </c>
      <c r="P29" s="333">
        <v>403820</v>
      </c>
      <c r="Q29" s="344">
        <v>1.45</v>
      </c>
      <c r="R29" s="72"/>
      <c r="S29" s="249" t="s">
        <v>1072</v>
      </c>
      <c r="T29" s="322" t="s">
        <v>1002</v>
      </c>
      <c r="U29" s="25" t="s">
        <v>1073</v>
      </c>
      <c r="V29" s="322" t="s">
        <v>73</v>
      </c>
      <c r="W29" s="225">
        <v>684000</v>
      </c>
      <c r="X29" s="244">
        <v>291190</v>
      </c>
      <c r="Y29" s="31">
        <v>0.7</v>
      </c>
      <c r="AF29" s="233"/>
      <c r="AJ29" s="322" t="s">
        <v>1074</v>
      </c>
      <c r="AK29" s="130" t="s">
        <v>1075</v>
      </c>
      <c r="AL29" s="322" t="s">
        <v>73</v>
      </c>
      <c r="AM29" s="341">
        <v>9500000</v>
      </c>
      <c r="AN29" s="326">
        <v>3500000</v>
      </c>
      <c r="AO29" s="29">
        <v>7</v>
      </c>
      <c r="AQ29" s="124" t="s">
        <v>1076</v>
      </c>
      <c r="AR29" s="25" t="s">
        <v>260</v>
      </c>
      <c r="AS29" s="130" t="s">
        <v>1077</v>
      </c>
      <c r="AT29" s="322" t="s">
        <v>73</v>
      </c>
      <c r="AU29" s="245">
        <v>2800000</v>
      </c>
      <c r="AV29" s="326">
        <v>757460</v>
      </c>
      <c r="AW29" s="31">
        <v>2.0499999999999998</v>
      </c>
      <c r="BP29" s="23" t="s">
        <v>369</v>
      </c>
      <c r="BU29" s="31"/>
      <c r="BV29" s="255"/>
      <c r="CV29" s="123" t="s">
        <v>276</v>
      </c>
      <c r="CW29" s="123" t="s">
        <v>1078</v>
      </c>
      <c r="CX29" s="123" t="s">
        <v>278</v>
      </c>
      <c r="CY29" s="252">
        <v>466000</v>
      </c>
      <c r="CZ29" s="253">
        <f t="shared" si="4"/>
        <v>246980</v>
      </c>
      <c r="DA29" s="90">
        <v>1</v>
      </c>
      <c r="DT29" s="25" t="s">
        <v>1047</v>
      </c>
      <c r="DU29" s="25" t="s">
        <v>1079</v>
      </c>
      <c r="DV29" s="25" t="s">
        <v>290</v>
      </c>
      <c r="DW29" s="73">
        <v>51000</v>
      </c>
      <c r="DX29" s="73">
        <v>28050.000000000004</v>
      </c>
      <c r="DY29" s="25">
        <v>0.75</v>
      </c>
      <c r="EJ29" s="25" t="s">
        <v>989</v>
      </c>
      <c r="EK29" s="25" t="s">
        <v>427</v>
      </c>
      <c r="EL29" s="25" t="s">
        <v>991</v>
      </c>
      <c r="EM29" s="220">
        <v>42600</v>
      </c>
      <c r="EN29" s="220">
        <v>19170</v>
      </c>
      <c r="EO29" s="31">
        <v>0.2</v>
      </c>
      <c r="EQ29" s="54" t="s">
        <v>1080</v>
      </c>
      <c r="ER29" s="25" t="s">
        <v>944</v>
      </c>
      <c r="ES29" s="25" t="s">
        <v>1081</v>
      </c>
      <c r="ET29" s="25" t="s">
        <v>81</v>
      </c>
      <c r="EU29" s="337">
        <v>29000</v>
      </c>
      <c r="EV29" s="337">
        <v>16210</v>
      </c>
      <c r="EW29" s="31">
        <v>0</v>
      </c>
      <c r="EZ29" s="25" t="s">
        <v>946</v>
      </c>
      <c r="FA29" s="25" t="s">
        <v>544</v>
      </c>
      <c r="FB29" s="25" t="s">
        <v>947</v>
      </c>
      <c r="FC29" s="222">
        <v>22900</v>
      </c>
      <c r="FD29" s="222">
        <f t="shared" si="3"/>
        <v>14885</v>
      </c>
      <c r="FE29" s="25">
        <v>0.2</v>
      </c>
      <c r="GE29" s="249" t="s">
        <v>1082</v>
      </c>
      <c r="GF29" s="322" t="s">
        <v>878</v>
      </c>
      <c r="GG29" s="224" t="s">
        <v>1083</v>
      </c>
      <c r="GH29" s="322" t="s">
        <v>73</v>
      </c>
      <c r="GI29" s="244">
        <v>2048000</v>
      </c>
      <c r="GJ29" s="225">
        <v>791160</v>
      </c>
      <c r="GK29" s="31">
        <v>2</v>
      </c>
      <c r="GV29" s="23" t="s">
        <v>369</v>
      </c>
      <c r="HC29" s="54"/>
      <c r="HG29" s="61"/>
      <c r="HH29" s="61"/>
    </row>
    <row r="30" spans="2:216">
      <c r="D30" s="26"/>
      <c r="K30" s="328" t="s">
        <v>1084</v>
      </c>
      <c r="L30" s="322" t="s">
        <v>1037</v>
      </c>
      <c r="M30" s="334" t="s">
        <v>1085</v>
      </c>
      <c r="N30" s="322" t="s">
        <v>73</v>
      </c>
      <c r="O30" s="333">
        <v>990000</v>
      </c>
      <c r="P30" s="333">
        <v>420930</v>
      </c>
      <c r="Q30" s="344">
        <v>1.45</v>
      </c>
      <c r="R30" s="72"/>
      <c r="T30" s="23"/>
      <c r="Y30" s="31"/>
      <c r="AF30" s="233"/>
      <c r="AJ30" s="322" t="s">
        <v>1086</v>
      </c>
      <c r="AK30" s="39" t="s">
        <v>1087</v>
      </c>
      <c r="AL30" s="322" t="s">
        <v>73</v>
      </c>
      <c r="AM30" s="341">
        <v>9500000</v>
      </c>
      <c r="AN30" s="326">
        <v>3500000</v>
      </c>
      <c r="AO30" s="29">
        <v>7</v>
      </c>
      <c r="AQ30" s="124" t="s">
        <v>1088</v>
      </c>
      <c r="AR30" s="25" t="s">
        <v>260</v>
      </c>
      <c r="AS30" s="130" t="s">
        <v>1089</v>
      </c>
      <c r="AT30" s="322" t="s">
        <v>73</v>
      </c>
      <c r="AU30" s="245">
        <v>3042000</v>
      </c>
      <c r="AV30" s="326">
        <v>752560</v>
      </c>
      <c r="AW30" s="31">
        <v>2.2999999999999998</v>
      </c>
      <c r="BP30" s="322" t="s">
        <v>268</v>
      </c>
      <c r="BQ30" s="25" t="s">
        <v>1090</v>
      </c>
      <c r="BR30" s="25" t="s">
        <v>81</v>
      </c>
      <c r="BS30" s="326">
        <f t="shared" si="9"/>
        <v>96000</v>
      </c>
      <c r="BT30" s="326">
        <v>38200</v>
      </c>
      <c r="BU30" s="31">
        <v>0.72</v>
      </c>
      <c r="BV30" s="255"/>
      <c r="CV30" s="123" t="s">
        <v>276</v>
      </c>
      <c r="CW30" s="123" t="s">
        <v>1091</v>
      </c>
      <c r="CX30" s="123" t="s">
        <v>278</v>
      </c>
      <c r="CY30" s="252">
        <v>592000</v>
      </c>
      <c r="CZ30" s="253">
        <f t="shared" si="4"/>
        <v>313760</v>
      </c>
      <c r="DA30" s="90">
        <v>1.2</v>
      </c>
      <c r="DT30" s="25" t="s">
        <v>1047</v>
      </c>
      <c r="DU30" s="25" t="s">
        <v>1092</v>
      </c>
      <c r="DV30" s="25" t="s">
        <v>290</v>
      </c>
      <c r="DW30" s="73">
        <v>69000</v>
      </c>
      <c r="DX30" s="73">
        <v>37950</v>
      </c>
      <c r="DY30" s="25">
        <v>1</v>
      </c>
      <c r="EJ30" s="25" t="s">
        <v>989</v>
      </c>
      <c r="EK30" s="25" t="s">
        <v>468</v>
      </c>
      <c r="EL30" s="25" t="s">
        <v>991</v>
      </c>
      <c r="EM30" s="220">
        <v>51800</v>
      </c>
      <c r="EN30" s="220">
        <v>23310</v>
      </c>
      <c r="EO30" s="31">
        <v>0.2</v>
      </c>
      <c r="EQ30" s="54" t="s">
        <v>1093</v>
      </c>
      <c r="ER30" s="25" t="s">
        <v>944</v>
      </c>
      <c r="ES30" s="25" t="s">
        <v>1094</v>
      </c>
      <c r="ET30" s="25" t="s">
        <v>81</v>
      </c>
      <c r="EU30" s="337">
        <v>39200</v>
      </c>
      <c r="EV30" s="337">
        <v>21700</v>
      </c>
      <c r="EW30" s="31">
        <v>0</v>
      </c>
      <c r="EZ30" s="25" t="s">
        <v>946</v>
      </c>
      <c r="FA30" s="25" t="s">
        <v>575</v>
      </c>
      <c r="FB30" s="25" t="s">
        <v>947</v>
      </c>
      <c r="FC30" s="222">
        <v>27300</v>
      </c>
      <c r="FD30" s="222">
        <f t="shared" si="3"/>
        <v>17745</v>
      </c>
      <c r="FE30" s="25">
        <v>0.2</v>
      </c>
      <c r="FQ30" s="41"/>
      <c r="FS30" s="42"/>
      <c r="GE30" s="249" t="s">
        <v>1095</v>
      </c>
      <c r="GF30" s="322" t="s">
        <v>878</v>
      </c>
      <c r="GG30" s="224" t="s">
        <v>1096</v>
      </c>
      <c r="GH30" s="322" t="s">
        <v>73</v>
      </c>
      <c r="GI30" s="244">
        <v>2307000</v>
      </c>
      <c r="GJ30" s="225">
        <v>882310</v>
      </c>
      <c r="GK30" s="31">
        <v>2.2000000000000002</v>
      </c>
      <c r="GV30" s="25" t="s">
        <v>242</v>
      </c>
      <c r="GW30" s="25" t="s">
        <v>1090</v>
      </c>
      <c r="GX30" s="25" t="s">
        <v>81</v>
      </c>
      <c r="GY30" s="326">
        <f t="shared" si="10"/>
        <v>124000</v>
      </c>
      <c r="GZ30" s="326">
        <v>41000</v>
      </c>
      <c r="HA30" s="31">
        <v>0.72</v>
      </c>
      <c r="HC30" s="54"/>
      <c r="HG30" s="61"/>
      <c r="HH30" s="61"/>
    </row>
    <row r="31" spans="2:216">
      <c r="D31" s="26"/>
      <c r="E31" s="26"/>
      <c r="F31" s="26"/>
      <c r="G31" s="26"/>
      <c r="H31" s="26"/>
      <c r="J31" s="26"/>
      <c r="K31" s="328" t="s">
        <v>1097</v>
      </c>
      <c r="L31" s="322" t="s">
        <v>1037</v>
      </c>
      <c r="M31" s="334" t="s">
        <v>1098</v>
      </c>
      <c r="N31" s="322" t="s">
        <v>73</v>
      </c>
      <c r="O31" s="333">
        <v>1221000</v>
      </c>
      <c r="P31" s="323">
        <v>482640</v>
      </c>
      <c r="Q31" s="344">
        <v>1.7</v>
      </c>
      <c r="R31" s="72"/>
      <c r="Y31" s="31"/>
      <c r="AF31" s="233"/>
      <c r="AJ31" s="322" t="s">
        <v>1099</v>
      </c>
      <c r="AK31" s="39" t="s">
        <v>1100</v>
      </c>
      <c r="AL31" s="322" t="s">
        <v>73</v>
      </c>
      <c r="AM31" s="341">
        <v>9500000</v>
      </c>
      <c r="AN31" s="326">
        <v>3500000</v>
      </c>
      <c r="AO31" s="29">
        <v>7</v>
      </c>
      <c r="AQ31" s="124" t="s">
        <v>1101</v>
      </c>
      <c r="AR31" s="25" t="s">
        <v>260</v>
      </c>
      <c r="AS31" s="130" t="s">
        <v>1102</v>
      </c>
      <c r="AT31" s="322" t="s">
        <v>73</v>
      </c>
      <c r="AU31" s="245">
        <v>3348000</v>
      </c>
      <c r="AV31" s="326">
        <v>760300</v>
      </c>
      <c r="AW31" s="31">
        <v>2.6</v>
      </c>
      <c r="BP31" s="322" t="s">
        <v>268</v>
      </c>
      <c r="BQ31" s="25" t="s">
        <v>1103</v>
      </c>
      <c r="BR31" s="25" t="s">
        <v>81</v>
      </c>
      <c r="BS31" s="326">
        <f t="shared" si="9"/>
        <v>84000</v>
      </c>
      <c r="BT31" s="326">
        <v>33600</v>
      </c>
      <c r="BU31" s="31">
        <v>0.52</v>
      </c>
      <c r="BV31" s="255"/>
      <c r="CV31" s="123" t="s">
        <v>276</v>
      </c>
      <c r="CW31" s="123" t="s">
        <v>1104</v>
      </c>
      <c r="CX31" s="123" t="s">
        <v>278</v>
      </c>
      <c r="CY31" s="252">
        <v>674000</v>
      </c>
      <c r="CZ31" s="253">
        <f t="shared" si="4"/>
        <v>357220</v>
      </c>
      <c r="DA31" s="90">
        <v>1.5</v>
      </c>
      <c r="DT31" s="25" t="s">
        <v>1047</v>
      </c>
      <c r="DU31" s="25" t="s">
        <v>1105</v>
      </c>
      <c r="DV31" s="25" t="s">
        <v>290</v>
      </c>
      <c r="DW31" s="73">
        <v>84000</v>
      </c>
      <c r="DX31" s="73">
        <v>46200.000000000007</v>
      </c>
      <c r="DY31" s="25">
        <v>1.25</v>
      </c>
      <c r="EI31" s="55" t="s">
        <v>1106</v>
      </c>
      <c r="EJ31" s="23" t="s">
        <v>1107</v>
      </c>
      <c r="EK31" s="135" t="s">
        <v>990</v>
      </c>
      <c r="EL31" s="25" t="s">
        <v>991</v>
      </c>
      <c r="EM31" s="227">
        <v>5170</v>
      </c>
      <c r="EN31" s="227">
        <v>1040</v>
      </c>
      <c r="EO31" s="31">
        <v>0.1</v>
      </c>
      <c r="EQ31" s="54" t="s">
        <v>1108</v>
      </c>
      <c r="ER31" s="25" t="s">
        <v>944</v>
      </c>
      <c r="ES31" s="25" t="s">
        <v>1109</v>
      </c>
      <c r="ET31" s="25" t="s">
        <v>81</v>
      </c>
      <c r="EU31" s="337">
        <v>49300</v>
      </c>
      <c r="EV31" s="337">
        <v>26850</v>
      </c>
      <c r="EW31" s="31">
        <v>0</v>
      </c>
      <c r="EZ31" s="25" t="s">
        <v>946</v>
      </c>
      <c r="FA31" s="25" t="s">
        <v>610</v>
      </c>
      <c r="FB31" s="25" t="s">
        <v>947</v>
      </c>
      <c r="FC31" s="222">
        <v>31700</v>
      </c>
      <c r="FD31" s="222">
        <f t="shared" si="3"/>
        <v>20605</v>
      </c>
      <c r="FE31" s="25">
        <v>0.24</v>
      </c>
      <c r="FQ31" s="41"/>
      <c r="FS31" s="42"/>
      <c r="GE31" s="249" t="s">
        <v>1110</v>
      </c>
      <c r="GF31" s="322" t="s">
        <v>878</v>
      </c>
      <c r="GG31" s="224" t="s">
        <v>1111</v>
      </c>
      <c r="GH31" s="322" t="s">
        <v>73</v>
      </c>
      <c r="GI31" s="244">
        <v>2381000</v>
      </c>
      <c r="GJ31" s="323">
        <v>974610</v>
      </c>
      <c r="GK31" s="31">
        <v>2.2000000000000002</v>
      </c>
      <c r="GV31" s="25" t="s">
        <v>242</v>
      </c>
      <c r="GW31" s="25" t="s">
        <v>1103</v>
      </c>
      <c r="GX31" s="25" t="s">
        <v>81</v>
      </c>
      <c r="GY31" s="326">
        <f t="shared" si="10"/>
        <v>110000</v>
      </c>
      <c r="GZ31" s="326">
        <v>36200</v>
      </c>
      <c r="HA31" s="31">
        <v>0.52</v>
      </c>
      <c r="HC31" s="54"/>
      <c r="HG31" s="61"/>
      <c r="HH31" s="61"/>
    </row>
    <row r="32" spans="2:216">
      <c r="D32" s="26"/>
      <c r="E32" s="26"/>
      <c r="F32" s="26"/>
      <c r="G32" s="26"/>
      <c r="H32" s="26"/>
      <c r="J32" s="26"/>
      <c r="K32" s="328" t="s">
        <v>1112</v>
      </c>
      <c r="L32" s="332" t="s">
        <v>1037</v>
      </c>
      <c r="M32" s="334" t="s">
        <v>1113</v>
      </c>
      <c r="N32" s="322" t="s">
        <v>73</v>
      </c>
      <c r="O32" s="333">
        <v>1283000</v>
      </c>
      <c r="P32" s="323">
        <v>508050</v>
      </c>
      <c r="Q32" s="344">
        <v>1.7</v>
      </c>
      <c r="R32" s="72"/>
      <c r="Y32" s="31"/>
      <c r="AJ32" s="322" t="s">
        <v>1114</v>
      </c>
      <c r="AK32" s="210" t="s">
        <v>1115</v>
      </c>
      <c r="AL32" s="322" t="s">
        <v>73</v>
      </c>
      <c r="AM32" s="341">
        <v>11500000</v>
      </c>
      <c r="AN32" s="326">
        <v>5400000</v>
      </c>
      <c r="AO32" s="342">
        <v>9</v>
      </c>
      <c r="AQ32" s="124" t="s">
        <v>1116</v>
      </c>
      <c r="AR32" s="25" t="s">
        <v>260</v>
      </c>
      <c r="AS32" s="130" t="s">
        <v>1117</v>
      </c>
      <c r="AT32" s="322" t="s">
        <v>73</v>
      </c>
      <c r="AU32" s="245">
        <v>3499000</v>
      </c>
      <c r="AV32" s="326">
        <v>756820</v>
      </c>
      <c r="AW32" s="31">
        <v>2.75</v>
      </c>
      <c r="BP32" s="322" t="s">
        <v>268</v>
      </c>
      <c r="BQ32" s="25" t="s">
        <v>1118</v>
      </c>
      <c r="BR32" s="25" t="s">
        <v>81</v>
      </c>
      <c r="BS32" s="326">
        <f t="shared" si="9"/>
        <v>82000</v>
      </c>
      <c r="BT32" s="326">
        <v>32800</v>
      </c>
      <c r="BU32" s="31">
        <v>0.46</v>
      </c>
      <c r="BV32" s="255"/>
      <c r="CV32" s="123" t="s">
        <v>736</v>
      </c>
      <c r="CW32" s="123" t="s">
        <v>1119</v>
      </c>
      <c r="CX32" s="123" t="s">
        <v>286</v>
      </c>
      <c r="CY32" s="252">
        <v>910000</v>
      </c>
      <c r="CZ32" s="253">
        <f t="shared" si="4"/>
        <v>482300</v>
      </c>
      <c r="DA32" s="90">
        <v>2</v>
      </c>
      <c r="DT32" s="23" t="s">
        <v>369</v>
      </c>
      <c r="EI32" s="55" t="s">
        <v>1120</v>
      </c>
      <c r="EJ32" s="23" t="s">
        <v>1107</v>
      </c>
      <c r="EK32" s="135" t="s">
        <v>1011</v>
      </c>
      <c r="EL32" s="25" t="s">
        <v>991</v>
      </c>
      <c r="EM32" s="227">
        <v>5960</v>
      </c>
      <c r="EN32" s="227">
        <v>1250</v>
      </c>
      <c r="EO32" s="31">
        <v>0.1</v>
      </c>
      <c r="EQ32" s="54" t="s">
        <v>1121</v>
      </c>
      <c r="ER32" s="25" t="s">
        <v>944</v>
      </c>
      <c r="ES32" s="25" t="s">
        <v>1122</v>
      </c>
      <c r="ET32" s="25" t="s">
        <v>81</v>
      </c>
      <c r="EU32" s="337">
        <v>96000</v>
      </c>
      <c r="EV32" s="337">
        <v>53630</v>
      </c>
      <c r="EW32" s="31">
        <v>0</v>
      </c>
      <c r="EZ32" s="25" t="s">
        <v>1123</v>
      </c>
      <c r="FA32" s="25" t="s">
        <v>298</v>
      </c>
      <c r="FB32" s="25" t="s">
        <v>947</v>
      </c>
      <c r="FC32" s="222">
        <v>21300</v>
      </c>
      <c r="FD32" s="222">
        <f t="shared" si="3"/>
        <v>13845</v>
      </c>
      <c r="FE32" s="25">
        <v>0.16</v>
      </c>
      <c r="FQ32" s="41"/>
      <c r="FS32" s="42"/>
      <c r="GE32" s="249" t="s">
        <v>1124</v>
      </c>
      <c r="GF32" s="322" t="s">
        <v>878</v>
      </c>
      <c r="GG32" s="224" t="s">
        <v>1125</v>
      </c>
      <c r="GH32" s="322" t="s">
        <v>73</v>
      </c>
      <c r="GI32" s="244">
        <v>2131000</v>
      </c>
      <c r="GJ32" s="225">
        <v>843390</v>
      </c>
      <c r="GK32" s="31">
        <v>2.2000000000000002</v>
      </c>
      <c r="GV32" s="25" t="s">
        <v>242</v>
      </c>
      <c r="GW32" s="25" t="s">
        <v>1118</v>
      </c>
      <c r="GX32" s="25" t="s">
        <v>81</v>
      </c>
      <c r="GY32" s="326">
        <f t="shared" si="10"/>
        <v>105000</v>
      </c>
      <c r="GZ32" s="326">
        <v>34600</v>
      </c>
      <c r="HA32" s="31">
        <v>0.46</v>
      </c>
      <c r="HC32" s="54"/>
      <c r="HG32" s="61"/>
      <c r="HH32" s="61"/>
    </row>
    <row r="33" spans="3:216">
      <c r="D33" s="26"/>
      <c r="E33" s="26"/>
      <c r="F33" s="26"/>
      <c r="G33" s="26"/>
      <c r="H33" s="26"/>
      <c r="J33" s="26"/>
      <c r="K33" s="327" t="s">
        <v>1126</v>
      </c>
      <c r="L33" s="322" t="s">
        <v>1037</v>
      </c>
      <c r="M33" s="334" t="s">
        <v>1127</v>
      </c>
      <c r="N33" s="322" t="s">
        <v>73</v>
      </c>
      <c r="O33" s="333">
        <v>1430000</v>
      </c>
      <c r="P33" s="325">
        <v>589070</v>
      </c>
      <c r="Q33" s="344">
        <v>2</v>
      </c>
      <c r="R33" s="72"/>
      <c r="Y33" s="31"/>
      <c r="AJ33" s="23" t="s">
        <v>402</v>
      </c>
      <c r="AR33" s="23" t="s">
        <v>369</v>
      </c>
      <c r="BP33" s="322" t="s">
        <v>268</v>
      </c>
      <c r="BQ33" s="25" t="s">
        <v>1128</v>
      </c>
      <c r="BR33" s="25" t="s">
        <v>81</v>
      </c>
      <c r="BS33" s="326">
        <f t="shared" si="9"/>
        <v>79000</v>
      </c>
      <c r="BT33" s="326">
        <v>31500</v>
      </c>
      <c r="BU33" s="31">
        <v>0.4</v>
      </c>
      <c r="BV33" s="255"/>
      <c r="CV33" s="78" t="s">
        <v>334</v>
      </c>
      <c r="CW33" s="78"/>
      <c r="CX33" s="78"/>
      <c r="CY33" s="97"/>
      <c r="CZ33" s="84"/>
      <c r="DA33" s="89"/>
      <c r="DN33" s="254"/>
      <c r="DT33" s="25" t="s">
        <v>1047</v>
      </c>
      <c r="DU33" s="25" t="s">
        <v>1129</v>
      </c>
      <c r="DV33" s="25" t="s">
        <v>290</v>
      </c>
      <c r="DW33" s="73">
        <v>107000</v>
      </c>
      <c r="DX33" s="73">
        <v>58850.000000000007</v>
      </c>
      <c r="DY33" s="25">
        <v>2.25</v>
      </c>
      <c r="EI33" s="55" t="s">
        <v>1130</v>
      </c>
      <c r="EJ33" s="23" t="s">
        <v>1107</v>
      </c>
      <c r="EK33" s="135" t="s">
        <v>347</v>
      </c>
      <c r="EL33" s="25" t="s">
        <v>991</v>
      </c>
      <c r="EM33" s="227">
        <v>11000</v>
      </c>
      <c r="EN33" s="326">
        <v>1880</v>
      </c>
      <c r="EO33" s="31">
        <v>0.1</v>
      </c>
      <c r="EQ33" s="54" t="s">
        <v>1131</v>
      </c>
      <c r="ER33" s="25" t="s">
        <v>944</v>
      </c>
      <c r="ES33" s="25" t="s">
        <v>1132</v>
      </c>
      <c r="ET33" s="25" t="s">
        <v>81</v>
      </c>
      <c r="EU33" s="337">
        <v>17800</v>
      </c>
      <c r="EV33" s="337">
        <v>8950</v>
      </c>
      <c r="EW33" s="31">
        <v>0</v>
      </c>
      <c r="EZ33" s="25" t="s">
        <v>1123</v>
      </c>
      <c r="FA33" s="25" t="s">
        <v>347</v>
      </c>
      <c r="FB33" s="25" t="s">
        <v>947</v>
      </c>
      <c r="FC33" s="222">
        <v>25800</v>
      </c>
      <c r="FD33" s="222">
        <f t="shared" si="3"/>
        <v>16770</v>
      </c>
      <c r="FE33" s="25">
        <v>0.18</v>
      </c>
      <c r="FQ33" s="41"/>
      <c r="FS33" s="42"/>
      <c r="GF33" s="141"/>
      <c r="GK33" s="31"/>
      <c r="GV33" s="25" t="s">
        <v>242</v>
      </c>
      <c r="GW33" s="25" t="s">
        <v>1128</v>
      </c>
      <c r="GX33" s="25" t="s">
        <v>81</v>
      </c>
      <c r="GY33" s="326">
        <f t="shared" si="10"/>
        <v>100000</v>
      </c>
      <c r="GZ33" s="326">
        <v>33000</v>
      </c>
      <c r="HA33" s="31">
        <v>0.4</v>
      </c>
      <c r="HC33" s="54"/>
      <c r="HG33" s="61"/>
      <c r="HH33" s="61"/>
    </row>
    <row r="34" spans="3:216">
      <c r="C34" s="25" t="s">
        <v>1133</v>
      </c>
      <c r="D34" s="26"/>
      <c r="E34" s="26"/>
      <c r="F34" s="26"/>
      <c r="G34" s="26"/>
      <c r="H34" s="26"/>
      <c r="J34" s="26"/>
      <c r="K34" s="327" t="s">
        <v>1134</v>
      </c>
      <c r="L34" s="322" t="s">
        <v>1037</v>
      </c>
      <c r="M34" s="334" t="s">
        <v>1135</v>
      </c>
      <c r="N34" s="322" t="s">
        <v>73</v>
      </c>
      <c r="O34" s="333">
        <v>1500000</v>
      </c>
      <c r="P34" s="323">
        <v>641450</v>
      </c>
      <c r="Q34" s="344">
        <v>2</v>
      </c>
      <c r="R34" s="72"/>
      <c r="AJ34" s="25" t="s">
        <v>1136</v>
      </c>
      <c r="AK34" s="210" t="s">
        <v>1137</v>
      </c>
      <c r="AL34" s="322" t="s">
        <v>73</v>
      </c>
      <c r="AM34" s="245">
        <v>5156000</v>
      </c>
      <c r="AN34" s="245">
        <v>1178400</v>
      </c>
      <c r="AQ34" s="124" t="s">
        <v>1138</v>
      </c>
      <c r="AR34" s="25" t="s">
        <v>260</v>
      </c>
      <c r="AS34" s="130" t="s">
        <v>1139</v>
      </c>
      <c r="AT34" s="322" t="s">
        <v>73</v>
      </c>
      <c r="AU34" s="245">
        <v>1900000</v>
      </c>
      <c r="AV34" s="326">
        <v>507680</v>
      </c>
      <c r="AW34" s="131">
        <v>1.3</v>
      </c>
      <c r="BP34" s="322" t="s">
        <v>268</v>
      </c>
      <c r="BQ34" s="25" t="s">
        <v>1140</v>
      </c>
      <c r="BR34" s="25" t="s">
        <v>81</v>
      </c>
      <c r="BS34" s="326">
        <f t="shared" si="9"/>
        <v>77000</v>
      </c>
      <c r="BT34" s="326">
        <v>30900</v>
      </c>
      <c r="BU34" s="31">
        <v>0.36</v>
      </c>
      <c r="BV34" s="255"/>
      <c r="CV34" s="123" t="s">
        <v>276</v>
      </c>
      <c r="CW34" s="123" t="s">
        <v>1141</v>
      </c>
      <c r="CX34" s="123" t="s">
        <v>278</v>
      </c>
      <c r="CY34" s="252">
        <v>102000</v>
      </c>
      <c r="CZ34" s="253">
        <f t="shared" si="4"/>
        <v>54060</v>
      </c>
      <c r="DA34" s="90">
        <v>0.3</v>
      </c>
      <c r="DT34" s="25" t="s">
        <v>1047</v>
      </c>
      <c r="DU34" s="25" t="s">
        <v>1142</v>
      </c>
      <c r="DV34" s="25" t="s">
        <v>290</v>
      </c>
      <c r="DW34" s="73">
        <v>153000</v>
      </c>
      <c r="DX34" s="73">
        <v>84150</v>
      </c>
      <c r="DY34" s="25">
        <v>2.5</v>
      </c>
      <c r="EI34" s="55" t="s">
        <v>1143</v>
      </c>
      <c r="EJ34" s="23" t="s">
        <v>1107</v>
      </c>
      <c r="EK34" s="135" t="s">
        <v>387</v>
      </c>
      <c r="EL34" s="25" t="s">
        <v>991</v>
      </c>
      <c r="EM34" s="227">
        <v>23700</v>
      </c>
      <c r="EN34" s="326">
        <v>4490</v>
      </c>
      <c r="EO34" s="31">
        <v>0.1</v>
      </c>
      <c r="EQ34" s="54" t="s">
        <v>1144</v>
      </c>
      <c r="ER34" s="25" t="s">
        <v>944</v>
      </c>
      <c r="ES34" s="25" t="s">
        <v>1145</v>
      </c>
      <c r="ET34" s="25" t="s">
        <v>81</v>
      </c>
      <c r="EU34" s="337">
        <v>25500</v>
      </c>
      <c r="EV34" s="337">
        <v>11810</v>
      </c>
      <c r="EW34" s="31">
        <v>0</v>
      </c>
      <c r="EZ34" s="25" t="s">
        <v>1123</v>
      </c>
      <c r="FA34" s="25" t="s">
        <v>387</v>
      </c>
      <c r="FB34" s="25" t="s">
        <v>947</v>
      </c>
      <c r="FC34" s="222">
        <v>30500</v>
      </c>
      <c r="FD34" s="222">
        <f t="shared" si="3"/>
        <v>19825</v>
      </c>
      <c r="FE34" s="25">
        <v>0.18</v>
      </c>
      <c r="FQ34" s="41"/>
      <c r="FS34" s="42"/>
      <c r="FU34" s="31" t="s">
        <v>1146</v>
      </c>
      <c r="GK34" s="31"/>
      <c r="GM34" s="205"/>
      <c r="GV34" s="25" t="s">
        <v>242</v>
      </c>
      <c r="GW34" s="25" t="s">
        <v>1140</v>
      </c>
      <c r="GX34" s="25" t="s">
        <v>81</v>
      </c>
      <c r="GY34" s="326">
        <f t="shared" si="10"/>
        <v>98000</v>
      </c>
      <c r="GZ34" s="326">
        <v>32300</v>
      </c>
      <c r="HA34" s="31">
        <v>0.36</v>
      </c>
      <c r="HC34" s="54"/>
      <c r="HG34" s="61"/>
      <c r="HH34" s="61"/>
    </row>
    <row r="35" spans="3:216">
      <c r="C35" s="45" t="s">
        <v>1147</v>
      </c>
      <c r="E35" s="26"/>
      <c r="F35" s="26"/>
      <c r="G35" s="26"/>
      <c r="H35" s="26"/>
      <c r="J35" s="26"/>
      <c r="K35" s="327" t="s">
        <v>1148</v>
      </c>
      <c r="L35" s="322" t="s">
        <v>1037</v>
      </c>
      <c r="M35" s="334" t="s">
        <v>1149</v>
      </c>
      <c r="N35" s="322" t="s">
        <v>73</v>
      </c>
      <c r="O35" s="333">
        <v>1360000</v>
      </c>
      <c r="P35" s="323">
        <v>557180</v>
      </c>
      <c r="Q35" s="344">
        <v>2</v>
      </c>
      <c r="R35" s="72"/>
      <c r="T35" s="54"/>
      <c r="AJ35" s="25" t="s">
        <v>1136</v>
      </c>
      <c r="AK35" s="210" t="s">
        <v>1150</v>
      </c>
      <c r="AL35" s="322" t="s">
        <v>73</v>
      </c>
      <c r="AM35" s="245">
        <v>6783000</v>
      </c>
      <c r="AN35" s="245">
        <v>1550400</v>
      </c>
      <c r="AQ35" s="124" t="s">
        <v>1151</v>
      </c>
      <c r="AR35" s="25" t="s">
        <v>260</v>
      </c>
      <c r="AS35" s="130" t="s">
        <v>1152</v>
      </c>
      <c r="AT35" s="322" t="s">
        <v>73</v>
      </c>
      <c r="AU35" s="245">
        <v>1974000</v>
      </c>
      <c r="AV35" s="326">
        <v>561350</v>
      </c>
      <c r="AW35" s="131">
        <v>1.4</v>
      </c>
      <c r="BP35" s="322" t="s">
        <v>268</v>
      </c>
      <c r="BQ35" s="25" t="s">
        <v>1153</v>
      </c>
      <c r="BR35" s="25" t="s">
        <v>81</v>
      </c>
      <c r="BS35" s="326">
        <f t="shared" si="9"/>
        <v>73000</v>
      </c>
      <c r="BT35" s="326">
        <v>29200</v>
      </c>
      <c r="BU35" s="31">
        <v>0.26</v>
      </c>
      <c r="BV35" s="255"/>
      <c r="CV35" s="78" t="s">
        <v>334</v>
      </c>
      <c r="CW35" s="78"/>
      <c r="CX35" s="78"/>
      <c r="CY35" s="96"/>
      <c r="CZ35" s="84"/>
      <c r="DA35" s="89"/>
      <c r="DT35" s="25" t="s">
        <v>1047</v>
      </c>
      <c r="DU35" s="25" t="s">
        <v>1154</v>
      </c>
      <c r="DV35" s="25" t="s">
        <v>290</v>
      </c>
      <c r="DW35" s="73">
        <v>203000</v>
      </c>
      <c r="DX35" s="73">
        <v>111650.00000000001</v>
      </c>
      <c r="DY35" s="25">
        <v>3</v>
      </c>
      <c r="EH35" s="26">
        <f>EF23/EE23</f>
        <v>0.6</v>
      </c>
      <c r="EJ35" s="23" t="s">
        <v>334</v>
      </c>
      <c r="EQ35" s="54" t="s">
        <v>1155</v>
      </c>
      <c r="ER35" s="25" t="s">
        <v>944</v>
      </c>
      <c r="ES35" s="25" t="s">
        <v>1156</v>
      </c>
      <c r="ET35" s="25" t="s">
        <v>81</v>
      </c>
      <c r="EU35" s="337">
        <v>31500</v>
      </c>
      <c r="EV35" s="337">
        <v>17600</v>
      </c>
      <c r="EW35" s="31">
        <v>0</v>
      </c>
      <c r="EZ35" s="25" t="s">
        <v>1123</v>
      </c>
      <c r="FA35" s="25" t="s">
        <v>427</v>
      </c>
      <c r="FB35" s="25" t="s">
        <v>947</v>
      </c>
      <c r="FC35" s="222">
        <v>49100</v>
      </c>
      <c r="FD35" s="222">
        <f t="shared" si="3"/>
        <v>31915</v>
      </c>
      <c r="FE35" s="25">
        <v>0.18</v>
      </c>
      <c r="FQ35" s="41"/>
      <c r="FS35" s="42"/>
      <c r="GK35" s="31"/>
      <c r="GV35" s="25" t="s">
        <v>242</v>
      </c>
      <c r="GW35" s="25" t="s">
        <v>1153</v>
      </c>
      <c r="GX35" s="25" t="s">
        <v>81</v>
      </c>
      <c r="GY35" s="326">
        <f t="shared" si="10"/>
        <v>91000</v>
      </c>
      <c r="GZ35" s="326">
        <v>29900</v>
      </c>
      <c r="HA35" s="31">
        <v>0.26</v>
      </c>
      <c r="HC35" s="54"/>
      <c r="HG35" s="61"/>
      <c r="HH35" s="61"/>
    </row>
    <row r="36" spans="3:216">
      <c r="C36" s="46" t="s">
        <v>1157</v>
      </c>
      <c r="E36" s="26"/>
      <c r="F36" s="26"/>
      <c r="G36" s="26"/>
      <c r="J36" s="26"/>
      <c r="K36" s="327" t="s">
        <v>1158</v>
      </c>
      <c r="L36" s="322" t="s">
        <v>1037</v>
      </c>
      <c r="M36" s="334" t="s">
        <v>1159</v>
      </c>
      <c r="N36" s="322" t="s">
        <v>73</v>
      </c>
      <c r="O36" s="333">
        <v>1590000</v>
      </c>
      <c r="P36" s="323">
        <v>612410</v>
      </c>
      <c r="Q36" s="344">
        <v>2.2000000000000002</v>
      </c>
      <c r="R36" s="72"/>
      <c r="T36" s="54"/>
      <c r="AJ36" s="25" t="s">
        <v>1136</v>
      </c>
      <c r="AK36" s="210" t="s">
        <v>1160</v>
      </c>
      <c r="AL36" s="322" t="s">
        <v>73</v>
      </c>
      <c r="AM36" s="245">
        <v>7256000</v>
      </c>
      <c r="AN36" s="245">
        <v>1658400</v>
      </c>
      <c r="AQ36" s="124" t="s">
        <v>1161</v>
      </c>
      <c r="AR36" s="25" t="s">
        <v>260</v>
      </c>
      <c r="AS36" s="130" t="s">
        <v>1162</v>
      </c>
      <c r="AT36" s="322" t="s">
        <v>73</v>
      </c>
      <c r="AU36" s="245">
        <v>2066000</v>
      </c>
      <c r="AV36" s="326">
        <v>597350</v>
      </c>
      <c r="AW36" s="131">
        <v>1.55</v>
      </c>
      <c r="BP36" s="322" t="s">
        <v>268</v>
      </c>
      <c r="BQ36" s="25" t="s">
        <v>1163</v>
      </c>
      <c r="BR36" s="25" t="s">
        <v>81</v>
      </c>
      <c r="BS36" s="326">
        <f t="shared" si="9"/>
        <v>69000</v>
      </c>
      <c r="BT36" s="326">
        <v>27600</v>
      </c>
      <c r="BU36" s="31">
        <v>0.2</v>
      </c>
      <c r="BV36" s="255"/>
      <c r="CV36" s="123" t="s">
        <v>276</v>
      </c>
      <c r="CW36" s="123" t="s">
        <v>1164</v>
      </c>
      <c r="CX36" s="123" t="s">
        <v>278</v>
      </c>
      <c r="CY36" s="252">
        <v>139000</v>
      </c>
      <c r="CZ36" s="253">
        <f t="shared" si="4"/>
        <v>73670</v>
      </c>
      <c r="DA36" s="90">
        <v>0.3</v>
      </c>
      <c r="DT36" s="25" t="s">
        <v>1047</v>
      </c>
      <c r="DU36" s="25" t="s">
        <v>1165</v>
      </c>
      <c r="DV36" s="25" t="s">
        <v>290</v>
      </c>
      <c r="DW36" s="73">
        <v>273000</v>
      </c>
      <c r="DX36" s="73">
        <v>150150</v>
      </c>
      <c r="DY36" s="25">
        <v>3</v>
      </c>
      <c r="EH36" s="26">
        <f t="shared" ref="EH36:EH38" si="11">EF24/EE24</f>
        <v>0.6</v>
      </c>
      <c r="EI36" s="55" t="s">
        <v>1166</v>
      </c>
      <c r="EJ36" s="25" t="s">
        <v>1167</v>
      </c>
      <c r="EK36" s="135" t="s">
        <v>990</v>
      </c>
      <c r="EL36" s="25" t="s">
        <v>947</v>
      </c>
      <c r="EM36" s="227">
        <v>6490</v>
      </c>
      <c r="EN36" s="326">
        <v>1360</v>
      </c>
      <c r="EO36" s="31">
        <v>0.1</v>
      </c>
      <c r="EQ36" s="54" t="s">
        <v>1168</v>
      </c>
      <c r="ER36" s="25" t="s">
        <v>944</v>
      </c>
      <c r="ES36" s="25" t="s">
        <v>1169</v>
      </c>
      <c r="ET36" s="25" t="s">
        <v>81</v>
      </c>
      <c r="EU36" s="337">
        <v>43000</v>
      </c>
      <c r="EV36" s="337">
        <v>23550</v>
      </c>
      <c r="EW36" s="31">
        <v>0</v>
      </c>
      <c r="EZ36" s="25" t="s">
        <v>1123</v>
      </c>
      <c r="FA36" s="25" t="s">
        <v>468</v>
      </c>
      <c r="FB36" s="25" t="s">
        <v>947</v>
      </c>
      <c r="FC36" s="222">
        <v>59100</v>
      </c>
      <c r="FD36" s="222">
        <f t="shared" si="3"/>
        <v>38415</v>
      </c>
      <c r="FE36" s="25">
        <v>0.19</v>
      </c>
      <c r="FQ36" s="41"/>
      <c r="FS36" s="42"/>
      <c r="GK36" s="31"/>
      <c r="GV36" s="25" t="s">
        <v>242</v>
      </c>
      <c r="GW36" s="25" t="s">
        <v>1163</v>
      </c>
      <c r="GX36" s="25" t="s">
        <v>81</v>
      </c>
      <c r="GY36" s="326">
        <f t="shared" si="10"/>
        <v>86000</v>
      </c>
      <c r="GZ36" s="326">
        <v>28300</v>
      </c>
      <c r="HA36" s="31">
        <v>0.2</v>
      </c>
      <c r="HC36" s="54"/>
      <c r="HG36" s="61"/>
      <c r="HH36" s="61"/>
    </row>
    <row r="37" spans="3:216">
      <c r="C37" s="47" t="s">
        <v>1170</v>
      </c>
      <c r="D37" s="26"/>
      <c r="E37" s="26"/>
      <c r="K37" s="327" t="s">
        <v>1171</v>
      </c>
      <c r="L37" s="322" t="s">
        <v>1037</v>
      </c>
      <c r="M37" s="334" t="s">
        <v>1172</v>
      </c>
      <c r="N37" s="322" t="s">
        <v>73</v>
      </c>
      <c r="O37" s="333">
        <v>1635000</v>
      </c>
      <c r="P37" s="325">
        <v>679300</v>
      </c>
      <c r="Q37" s="344">
        <v>2.2000000000000002</v>
      </c>
      <c r="R37" s="72"/>
      <c r="T37" s="54"/>
      <c r="AJ37" s="23" t="s">
        <v>402</v>
      </c>
      <c r="AQ37" s="124" t="s">
        <v>1173</v>
      </c>
      <c r="AR37" s="25" t="s">
        <v>260</v>
      </c>
      <c r="AS37" s="130" t="s">
        <v>1174</v>
      </c>
      <c r="AT37" s="322" t="s">
        <v>73</v>
      </c>
      <c r="AU37" s="245">
        <v>2188000</v>
      </c>
      <c r="AV37" s="326">
        <v>679150</v>
      </c>
      <c r="AW37" s="131">
        <v>1.65</v>
      </c>
      <c r="BP37" s="322" t="s">
        <v>268</v>
      </c>
      <c r="BQ37" s="25" t="s">
        <v>1175</v>
      </c>
      <c r="BR37" s="25" t="s">
        <v>81</v>
      </c>
      <c r="BS37" s="326">
        <f t="shared" si="9"/>
        <v>66000</v>
      </c>
      <c r="BT37" s="326">
        <v>26300</v>
      </c>
      <c r="BU37" s="31">
        <v>0.13</v>
      </c>
      <c r="BV37" s="255"/>
      <c r="CV37" s="123" t="s">
        <v>276</v>
      </c>
      <c r="CW37" s="123" t="s">
        <v>1176</v>
      </c>
      <c r="CX37" s="123" t="s">
        <v>278</v>
      </c>
      <c r="CY37" s="252">
        <v>162000</v>
      </c>
      <c r="CZ37" s="253">
        <f t="shared" si="4"/>
        <v>85860</v>
      </c>
      <c r="DA37" s="90">
        <v>0.5</v>
      </c>
      <c r="DT37" s="25" t="s">
        <v>1047</v>
      </c>
      <c r="DU37" s="25" t="s">
        <v>1177</v>
      </c>
      <c r="DV37" s="25" t="s">
        <v>290</v>
      </c>
      <c r="DW37" s="73">
        <v>369000</v>
      </c>
      <c r="DX37" s="73">
        <v>202950.00000000003</v>
      </c>
      <c r="DY37" s="25">
        <v>3.5</v>
      </c>
      <c r="EH37" s="26">
        <f t="shared" si="11"/>
        <v>0.5</v>
      </c>
      <c r="EI37" s="55" t="s">
        <v>1178</v>
      </c>
      <c r="EJ37" s="25" t="s">
        <v>1167</v>
      </c>
      <c r="EK37" s="135" t="s">
        <v>1028</v>
      </c>
      <c r="EL37" s="25" t="s">
        <v>947</v>
      </c>
      <c r="EM37" s="227">
        <v>12700</v>
      </c>
      <c r="EN37" s="326">
        <v>2090</v>
      </c>
      <c r="EO37" s="31">
        <v>0.1</v>
      </c>
      <c r="EQ37" s="54" t="s">
        <v>1179</v>
      </c>
      <c r="ER37" s="25" t="s">
        <v>944</v>
      </c>
      <c r="ES37" s="25" t="s">
        <v>1180</v>
      </c>
      <c r="ET37" s="25" t="s">
        <v>81</v>
      </c>
      <c r="EU37" s="337">
        <v>52900</v>
      </c>
      <c r="EV37" s="337">
        <v>29140</v>
      </c>
      <c r="EW37" s="31">
        <v>0</v>
      </c>
      <c r="EZ37" s="25" t="s">
        <v>1123</v>
      </c>
      <c r="FA37" s="25" t="s">
        <v>504</v>
      </c>
      <c r="FB37" s="25" t="s">
        <v>947</v>
      </c>
      <c r="FC37" s="222">
        <v>72600</v>
      </c>
      <c r="FD37" s="222">
        <f t="shared" si="3"/>
        <v>47190</v>
      </c>
      <c r="FE37" s="25">
        <v>0.19</v>
      </c>
      <c r="FQ37" s="41"/>
      <c r="FS37" s="42"/>
      <c r="GV37" s="25" t="s">
        <v>242</v>
      </c>
      <c r="GW37" s="25" t="s">
        <v>1175</v>
      </c>
      <c r="GX37" s="25" t="s">
        <v>81</v>
      </c>
      <c r="GY37" s="326">
        <f t="shared" si="10"/>
        <v>81000</v>
      </c>
      <c r="GZ37" s="326">
        <v>26700</v>
      </c>
      <c r="HA37" s="31">
        <v>0.13</v>
      </c>
      <c r="HC37" s="54"/>
      <c r="HG37" s="61"/>
      <c r="HH37" s="61"/>
    </row>
    <row r="38" spans="3:216">
      <c r="C38" s="48" t="s">
        <v>1181</v>
      </c>
      <c r="E38" s="26"/>
      <c r="K38" s="327" t="s">
        <v>1182</v>
      </c>
      <c r="L38" s="322" t="s">
        <v>1037</v>
      </c>
      <c r="M38" s="334" t="s">
        <v>1183</v>
      </c>
      <c r="N38" s="322" t="s">
        <v>73</v>
      </c>
      <c r="O38" s="333">
        <v>1550000</v>
      </c>
      <c r="P38" s="323">
        <v>574680</v>
      </c>
      <c r="Q38" s="344">
        <v>2.2000000000000002</v>
      </c>
      <c r="R38" s="72"/>
      <c r="T38" s="54"/>
      <c r="AJ38" s="25" t="s">
        <v>1136</v>
      </c>
      <c r="AK38" s="210" t="s">
        <v>1184</v>
      </c>
      <c r="AL38" s="322" t="s">
        <v>73</v>
      </c>
      <c r="AM38" s="245">
        <v>6794000</v>
      </c>
      <c r="AN38" s="245">
        <v>1552800</v>
      </c>
      <c r="AQ38" s="124" t="s">
        <v>1185</v>
      </c>
      <c r="AR38" s="25" t="s">
        <v>260</v>
      </c>
      <c r="AS38" s="130" t="s">
        <v>1186</v>
      </c>
      <c r="AT38" s="322" t="s">
        <v>73</v>
      </c>
      <c r="AU38" s="245">
        <v>2264000</v>
      </c>
      <c r="AV38" s="326">
        <v>667280</v>
      </c>
      <c r="AW38" s="131">
        <v>1.75</v>
      </c>
      <c r="BP38" s="23" t="s">
        <v>369</v>
      </c>
      <c r="BU38" s="31"/>
      <c r="BV38" s="255"/>
      <c r="CV38" s="123" t="s">
        <v>276</v>
      </c>
      <c r="CW38" s="123" t="s">
        <v>1187</v>
      </c>
      <c r="CX38" s="123" t="s">
        <v>278</v>
      </c>
      <c r="CY38" s="252">
        <v>205000</v>
      </c>
      <c r="CZ38" s="253">
        <f t="shared" si="4"/>
        <v>108650</v>
      </c>
      <c r="DA38" s="90">
        <v>0.5</v>
      </c>
      <c r="DT38" s="23" t="s">
        <v>369</v>
      </c>
      <c r="EH38" s="26">
        <f t="shared" si="11"/>
        <v>0.24553571428571427</v>
      </c>
      <c r="EI38" s="55" t="s">
        <v>1188</v>
      </c>
      <c r="EJ38" s="25" t="s">
        <v>1189</v>
      </c>
      <c r="EK38" s="135" t="s">
        <v>1011</v>
      </c>
      <c r="EL38" s="25" t="s">
        <v>947</v>
      </c>
      <c r="EM38" s="227">
        <v>7210</v>
      </c>
      <c r="EN38" s="245">
        <v>1560</v>
      </c>
      <c r="EO38" s="31">
        <v>0.1</v>
      </c>
      <c r="EQ38" s="54" t="s">
        <v>1190</v>
      </c>
      <c r="ER38" s="25" t="s">
        <v>944</v>
      </c>
      <c r="ES38" s="25" t="s">
        <v>1191</v>
      </c>
      <c r="ET38" s="25" t="s">
        <v>81</v>
      </c>
      <c r="EU38" s="337">
        <v>104900</v>
      </c>
      <c r="EV38" s="337">
        <v>58190</v>
      </c>
      <c r="EW38" s="31">
        <v>0</v>
      </c>
      <c r="EZ38" s="25" t="s">
        <v>1123</v>
      </c>
      <c r="FA38" s="25" t="s">
        <v>847</v>
      </c>
      <c r="FB38" s="25" t="s">
        <v>947</v>
      </c>
      <c r="FC38" s="222">
        <v>86900</v>
      </c>
      <c r="FD38" s="222">
        <f t="shared" si="3"/>
        <v>56485</v>
      </c>
      <c r="FE38" s="25">
        <v>0.2</v>
      </c>
      <c r="FQ38" s="41"/>
      <c r="FS38" s="42"/>
      <c r="GV38" s="23" t="s">
        <v>369</v>
      </c>
      <c r="HA38" s="31"/>
      <c r="HC38" s="54"/>
      <c r="HG38" s="61"/>
      <c r="HH38" s="61"/>
    </row>
    <row r="39" spans="3:216">
      <c r="C39" s="49" t="s">
        <v>1192</v>
      </c>
      <c r="E39" s="26"/>
      <c r="F39" s="24"/>
      <c r="K39" s="92"/>
      <c r="M39" s="241"/>
      <c r="O39" s="230"/>
      <c r="P39" s="212"/>
      <c r="Q39" s="31"/>
      <c r="R39" s="72"/>
      <c r="T39" s="54"/>
      <c r="AJ39" s="25" t="s">
        <v>1136</v>
      </c>
      <c r="AK39" s="210" t="s">
        <v>1193</v>
      </c>
      <c r="AL39" s="322" t="s">
        <v>73</v>
      </c>
      <c r="AM39" s="245">
        <v>9072000</v>
      </c>
      <c r="AN39" s="245">
        <v>2073600</v>
      </c>
      <c r="AQ39" s="124" t="s">
        <v>1194</v>
      </c>
      <c r="AR39" s="25" t="s">
        <v>260</v>
      </c>
      <c r="AS39" s="130" t="s">
        <v>1195</v>
      </c>
      <c r="AT39" s="322" t="s">
        <v>73</v>
      </c>
      <c r="AU39" s="245">
        <v>2431000</v>
      </c>
      <c r="AV39" s="326">
        <v>680180</v>
      </c>
      <c r="AW39" s="131">
        <v>1.9</v>
      </c>
      <c r="BP39" s="322" t="s">
        <v>268</v>
      </c>
      <c r="BQ39" s="25" t="s">
        <v>1196</v>
      </c>
      <c r="BR39" s="25" t="s">
        <v>81</v>
      </c>
      <c r="BS39" s="326">
        <f t="shared" si="9"/>
        <v>94000</v>
      </c>
      <c r="BT39" s="326">
        <v>37700</v>
      </c>
      <c r="BU39" s="31">
        <v>0.94</v>
      </c>
      <c r="BV39" s="255"/>
      <c r="CV39" s="123" t="s">
        <v>276</v>
      </c>
      <c r="CW39" s="123" t="s">
        <v>1197</v>
      </c>
      <c r="CX39" s="123" t="s">
        <v>278</v>
      </c>
      <c r="CY39" s="252">
        <v>267000</v>
      </c>
      <c r="CZ39" s="253">
        <f t="shared" si="4"/>
        <v>141510</v>
      </c>
      <c r="DA39" s="90">
        <v>0.5</v>
      </c>
      <c r="DT39" s="25" t="s">
        <v>1047</v>
      </c>
      <c r="DU39" s="25" t="s">
        <v>1198</v>
      </c>
      <c r="DV39" s="25" t="s">
        <v>290</v>
      </c>
      <c r="DW39" s="73">
        <v>1011000</v>
      </c>
      <c r="DX39" s="73">
        <v>556050</v>
      </c>
      <c r="DY39" s="25">
        <v>3</v>
      </c>
      <c r="EI39" s="55" t="s">
        <v>1199</v>
      </c>
      <c r="EJ39" s="25" t="s">
        <v>1189</v>
      </c>
      <c r="EK39" s="135" t="s">
        <v>347</v>
      </c>
      <c r="EL39" s="25" t="s">
        <v>947</v>
      </c>
      <c r="EM39" s="227">
        <v>16000</v>
      </c>
      <c r="EN39" s="326">
        <v>2820</v>
      </c>
      <c r="EO39" s="31">
        <v>0.1</v>
      </c>
      <c r="ER39" s="23" t="s">
        <v>369</v>
      </c>
      <c r="EZ39" s="25" t="s">
        <v>1123</v>
      </c>
      <c r="FA39" s="25" t="s">
        <v>544</v>
      </c>
      <c r="FB39" s="25" t="s">
        <v>947</v>
      </c>
      <c r="FC39" s="222">
        <v>102600</v>
      </c>
      <c r="FD39" s="222">
        <f t="shared" si="3"/>
        <v>66690</v>
      </c>
      <c r="FE39" s="25">
        <v>0.2</v>
      </c>
      <c r="FQ39" s="41"/>
      <c r="FS39" s="42"/>
      <c r="GV39" s="25" t="s">
        <v>312</v>
      </c>
      <c r="GW39" s="25" t="s">
        <v>1196</v>
      </c>
      <c r="GX39" s="25" t="s">
        <v>81</v>
      </c>
      <c r="GY39" s="326">
        <f t="shared" si="10"/>
        <v>127000</v>
      </c>
      <c r="GZ39" s="326">
        <v>42000</v>
      </c>
      <c r="HA39" s="31">
        <v>0.94</v>
      </c>
      <c r="HC39" s="54"/>
      <c r="HG39" s="61"/>
      <c r="HH39" s="61"/>
    </row>
    <row r="40" spans="3:216">
      <c r="C40" s="67" t="s">
        <v>1200</v>
      </c>
      <c r="E40" s="26"/>
      <c r="K40" s="92"/>
      <c r="M40" s="241"/>
      <c r="O40" s="230"/>
      <c r="P40" s="212"/>
      <c r="Q40" s="31"/>
      <c r="R40" s="72"/>
      <c r="T40" s="54"/>
      <c r="AJ40" s="25" t="s">
        <v>1136</v>
      </c>
      <c r="AK40" s="210" t="s">
        <v>1201</v>
      </c>
      <c r="AL40" s="322" t="s">
        <v>73</v>
      </c>
      <c r="AM40" s="245">
        <v>10143000</v>
      </c>
      <c r="AN40" s="245">
        <v>2318400</v>
      </c>
      <c r="AQ40" s="124" t="s">
        <v>1202</v>
      </c>
      <c r="AR40" s="25" t="s">
        <v>260</v>
      </c>
      <c r="AS40" s="130" t="s">
        <v>1203</v>
      </c>
      <c r="AT40" s="322" t="s">
        <v>73</v>
      </c>
      <c r="AU40" s="245">
        <v>2800000</v>
      </c>
      <c r="AV40" s="326">
        <v>757460</v>
      </c>
      <c r="AW40" s="131">
        <v>2.0499999999999998</v>
      </c>
      <c r="BP40" s="322" t="s">
        <v>268</v>
      </c>
      <c r="BQ40" s="25" t="s">
        <v>1204</v>
      </c>
      <c r="BR40" s="25" t="s">
        <v>81</v>
      </c>
      <c r="BS40" s="326">
        <f t="shared" si="9"/>
        <v>86000</v>
      </c>
      <c r="BT40" s="326">
        <v>34200</v>
      </c>
      <c r="BU40" s="31">
        <v>0.68</v>
      </c>
      <c r="BV40" s="255"/>
      <c r="CV40" s="78" t="s">
        <v>334</v>
      </c>
      <c r="CW40" s="78"/>
      <c r="CX40" s="78"/>
      <c r="CY40" s="96"/>
      <c r="CZ40" s="84"/>
      <c r="DA40" s="89"/>
      <c r="DT40" s="25" t="s">
        <v>1047</v>
      </c>
      <c r="DU40" s="25" t="s">
        <v>1205</v>
      </c>
      <c r="DV40" s="25" t="s">
        <v>290</v>
      </c>
      <c r="DW40" s="73">
        <v>1117000</v>
      </c>
      <c r="DX40" s="73">
        <v>614350</v>
      </c>
      <c r="DY40" s="25">
        <v>3</v>
      </c>
      <c r="EI40" s="55" t="s">
        <v>1206</v>
      </c>
      <c r="EJ40" s="25" t="s">
        <v>1189</v>
      </c>
      <c r="EK40" s="25" t="s">
        <v>387</v>
      </c>
      <c r="EL40" s="25" t="s">
        <v>947</v>
      </c>
      <c r="EM40" s="227">
        <v>30900</v>
      </c>
      <c r="EN40" s="326">
        <v>4280</v>
      </c>
      <c r="EO40" s="31">
        <v>0.15</v>
      </c>
      <c r="EQ40" s="54" t="s">
        <v>1207</v>
      </c>
      <c r="ER40" s="25" t="s">
        <v>1208</v>
      </c>
      <c r="ES40" s="25" t="s">
        <v>1209</v>
      </c>
      <c r="ET40" s="25" t="s">
        <v>947</v>
      </c>
      <c r="EU40" s="337">
        <v>19400</v>
      </c>
      <c r="EV40" s="337">
        <v>9000</v>
      </c>
      <c r="EW40" s="31">
        <v>0</v>
      </c>
      <c r="EZ40" s="25" t="s">
        <v>1123</v>
      </c>
      <c r="FA40" s="25" t="s">
        <v>575</v>
      </c>
      <c r="FB40" s="25" t="s">
        <v>947</v>
      </c>
      <c r="FC40" s="222">
        <v>114800</v>
      </c>
      <c r="FD40" s="222">
        <f t="shared" si="3"/>
        <v>74620</v>
      </c>
      <c r="FE40" s="25">
        <v>0.2</v>
      </c>
      <c r="FQ40" s="41"/>
      <c r="FS40" s="42"/>
      <c r="GV40" s="25" t="s">
        <v>312</v>
      </c>
      <c r="GW40" s="25" t="s">
        <v>1204</v>
      </c>
      <c r="GX40" s="25" t="s">
        <v>81</v>
      </c>
      <c r="GY40" s="326">
        <f t="shared" si="10"/>
        <v>112000</v>
      </c>
      <c r="GZ40" s="326">
        <v>37000</v>
      </c>
      <c r="HA40" s="31">
        <v>0.68</v>
      </c>
      <c r="HC40" s="54"/>
      <c r="HG40" s="61"/>
      <c r="HH40" s="61"/>
    </row>
    <row r="41" spans="3:216">
      <c r="C41" s="91" t="s">
        <v>1210</v>
      </c>
      <c r="E41" s="26"/>
      <c r="K41" s="92"/>
      <c r="M41" s="241"/>
      <c r="O41" s="230"/>
      <c r="P41" s="71"/>
      <c r="Q41" s="31"/>
      <c r="R41" s="72"/>
      <c r="AJ41" s="23" t="s">
        <v>402</v>
      </c>
      <c r="AQ41" s="124" t="s">
        <v>1211</v>
      </c>
      <c r="AR41" s="25" t="s">
        <v>260</v>
      </c>
      <c r="AS41" s="130" t="s">
        <v>1212</v>
      </c>
      <c r="AT41" s="322" t="s">
        <v>73</v>
      </c>
      <c r="AU41" s="245">
        <v>3042000</v>
      </c>
      <c r="AV41" s="326">
        <v>757590</v>
      </c>
      <c r="AW41" s="131">
        <v>2.2999999999999998</v>
      </c>
      <c r="BP41" s="322" t="s">
        <v>268</v>
      </c>
      <c r="BQ41" s="25" t="s">
        <v>1213</v>
      </c>
      <c r="BR41" s="25" t="s">
        <v>81</v>
      </c>
      <c r="BS41" s="326">
        <f t="shared" si="9"/>
        <v>81000</v>
      </c>
      <c r="BT41" s="326">
        <v>32500</v>
      </c>
      <c r="BU41" s="31">
        <v>0.6</v>
      </c>
      <c r="BV41" s="255"/>
      <c r="CV41" s="123" t="s">
        <v>276</v>
      </c>
      <c r="CW41" s="123" t="s">
        <v>1214</v>
      </c>
      <c r="CX41" s="123" t="s">
        <v>278</v>
      </c>
      <c r="CY41" s="252">
        <v>182000</v>
      </c>
      <c r="CZ41" s="253">
        <f t="shared" si="4"/>
        <v>96460</v>
      </c>
      <c r="DA41" s="90">
        <v>0.5</v>
      </c>
      <c r="DD41" s="23"/>
      <c r="DT41" s="25" t="s">
        <v>1047</v>
      </c>
      <c r="DU41" s="25" t="s">
        <v>1215</v>
      </c>
      <c r="DV41" s="25" t="s">
        <v>290</v>
      </c>
      <c r="DW41" s="73">
        <v>1278000</v>
      </c>
      <c r="DX41" s="73">
        <v>702900</v>
      </c>
      <c r="DY41" s="25">
        <v>3.5</v>
      </c>
      <c r="EJ41" s="25" t="s">
        <v>1189</v>
      </c>
      <c r="EK41" s="25" t="s">
        <v>427</v>
      </c>
      <c r="EL41" s="25" t="s">
        <v>947</v>
      </c>
      <c r="EM41" s="220">
        <v>67400</v>
      </c>
      <c r="EN41" s="220">
        <v>30330</v>
      </c>
      <c r="EO41" s="31">
        <v>0.2</v>
      </c>
      <c r="EQ41" s="54" t="s">
        <v>1216</v>
      </c>
      <c r="ER41" s="25" t="s">
        <v>1217</v>
      </c>
      <c r="ES41" s="25" t="s">
        <v>1218</v>
      </c>
      <c r="ET41" s="25" t="s">
        <v>947</v>
      </c>
      <c r="EU41" s="337">
        <v>23000</v>
      </c>
      <c r="EV41" s="337">
        <v>10900</v>
      </c>
      <c r="EW41" s="31">
        <v>0</v>
      </c>
      <c r="EZ41" s="25" t="s">
        <v>1123</v>
      </c>
      <c r="FA41" s="25" t="s">
        <v>610</v>
      </c>
      <c r="FB41" s="25" t="s">
        <v>947</v>
      </c>
      <c r="FC41" s="222">
        <v>127700</v>
      </c>
      <c r="FD41" s="222">
        <f t="shared" si="3"/>
        <v>83005</v>
      </c>
      <c r="FE41" s="25">
        <v>0.24</v>
      </c>
      <c r="FQ41" s="41"/>
      <c r="FS41" s="42"/>
      <c r="GV41" s="25" t="s">
        <v>312</v>
      </c>
      <c r="GW41" s="25" t="s">
        <v>1213</v>
      </c>
      <c r="GX41" s="25" t="s">
        <v>81</v>
      </c>
      <c r="GY41" s="326">
        <f t="shared" si="10"/>
        <v>107000</v>
      </c>
      <c r="GZ41" s="326">
        <v>35200</v>
      </c>
      <c r="HA41" s="31">
        <v>0.6</v>
      </c>
      <c r="HC41" s="54"/>
      <c r="HG41" s="61"/>
      <c r="HH41" s="61"/>
    </row>
    <row r="42" spans="3:216">
      <c r="C42" s="23" t="s">
        <v>1219</v>
      </c>
      <c r="K42" s="92"/>
      <c r="M42" s="241"/>
      <c r="O42" s="230"/>
      <c r="P42" s="71"/>
      <c r="Q42" s="31"/>
      <c r="R42" s="72"/>
      <c r="W42" s="35"/>
      <c r="X42" s="71"/>
      <c r="Y42" s="31"/>
      <c r="AJ42" s="25" t="s">
        <v>1136</v>
      </c>
      <c r="AK42" s="210" t="s">
        <v>1220</v>
      </c>
      <c r="AL42" s="322" t="s">
        <v>73</v>
      </c>
      <c r="AM42" s="245">
        <v>2940000</v>
      </c>
      <c r="AN42" s="245">
        <v>672000</v>
      </c>
      <c r="AQ42" s="124" t="s">
        <v>1221</v>
      </c>
      <c r="AR42" s="25" t="s">
        <v>260</v>
      </c>
      <c r="AS42" s="130" t="s">
        <v>1222</v>
      </c>
      <c r="AT42" s="322" t="s">
        <v>73</v>
      </c>
      <c r="AU42" s="245">
        <v>3348000</v>
      </c>
      <c r="AV42" s="326">
        <v>825070</v>
      </c>
      <c r="AW42" s="131">
        <v>2.6</v>
      </c>
      <c r="BP42" s="322" t="s">
        <v>268</v>
      </c>
      <c r="BQ42" s="25" t="s">
        <v>1223</v>
      </c>
      <c r="BR42" s="25" t="s">
        <v>81</v>
      </c>
      <c r="BS42" s="326">
        <f t="shared" si="9"/>
        <v>78000</v>
      </c>
      <c r="BT42" s="326">
        <v>31200</v>
      </c>
      <c r="BU42" s="31">
        <v>0.55000000000000004</v>
      </c>
      <c r="BV42" s="255"/>
      <c r="CV42" s="123" t="s">
        <v>276</v>
      </c>
      <c r="CW42" s="123" t="s">
        <v>1224</v>
      </c>
      <c r="CX42" s="123" t="s">
        <v>278</v>
      </c>
      <c r="CY42" s="252">
        <v>200000</v>
      </c>
      <c r="CZ42" s="253">
        <f t="shared" si="4"/>
        <v>106000</v>
      </c>
      <c r="DA42" s="90">
        <v>0.5</v>
      </c>
      <c r="DT42" s="25" t="s">
        <v>1047</v>
      </c>
      <c r="DU42" s="25" t="s">
        <v>1225</v>
      </c>
      <c r="DV42" s="25" t="s">
        <v>290</v>
      </c>
      <c r="DW42" s="73">
        <v>1380000</v>
      </c>
      <c r="DX42" s="73">
        <v>759000.00000000012</v>
      </c>
      <c r="DY42" s="25">
        <v>3.5</v>
      </c>
      <c r="EJ42" s="25" t="s">
        <v>1189</v>
      </c>
      <c r="EK42" s="25" t="s">
        <v>468</v>
      </c>
      <c r="EL42" s="25" t="s">
        <v>947</v>
      </c>
      <c r="EM42" s="220">
        <v>88800</v>
      </c>
      <c r="EN42" s="220">
        <v>39960</v>
      </c>
      <c r="EO42" s="31">
        <v>0.2</v>
      </c>
      <c r="EQ42" s="54" t="s">
        <v>1226</v>
      </c>
      <c r="ER42" s="25" t="s">
        <v>1217</v>
      </c>
      <c r="ES42" s="25" t="s">
        <v>1227</v>
      </c>
      <c r="ET42" s="25" t="s">
        <v>947</v>
      </c>
      <c r="EU42" s="337">
        <v>28100</v>
      </c>
      <c r="EV42" s="337">
        <v>13300</v>
      </c>
      <c r="EW42" s="31">
        <v>0</v>
      </c>
      <c r="EZ42" s="25" t="s">
        <v>1228</v>
      </c>
      <c r="FA42" s="25" t="s">
        <v>427</v>
      </c>
      <c r="FB42" s="25" t="s">
        <v>947</v>
      </c>
      <c r="FC42" s="222">
        <v>8300</v>
      </c>
      <c r="FD42" s="222">
        <f t="shared" si="3"/>
        <v>5395</v>
      </c>
      <c r="FE42" s="25">
        <v>0.16</v>
      </c>
      <c r="FQ42" s="41"/>
      <c r="FS42" s="42"/>
      <c r="GV42" s="25" t="s">
        <v>312</v>
      </c>
      <c r="GW42" s="25" t="s">
        <v>1223</v>
      </c>
      <c r="GX42" s="25" t="s">
        <v>81</v>
      </c>
      <c r="GY42" s="326">
        <f t="shared" si="10"/>
        <v>102000</v>
      </c>
      <c r="GZ42" s="326">
        <v>33600</v>
      </c>
      <c r="HA42" s="31">
        <v>0.55000000000000004</v>
      </c>
      <c r="HC42" s="54"/>
      <c r="HG42" s="61"/>
      <c r="HH42" s="61"/>
    </row>
    <row r="43" spans="3:216">
      <c r="C43" s="169" t="s">
        <v>1229</v>
      </c>
      <c r="K43" s="92"/>
      <c r="M43" s="241"/>
      <c r="O43" s="230"/>
      <c r="P43" s="212"/>
      <c r="Q43" s="31"/>
      <c r="R43" s="72"/>
      <c r="W43" s="35"/>
      <c r="X43" s="71"/>
      <c r="Y43" s="31"/>
      <c r="AJ43" s="25" t="s">
        <v>1136</v>
      </c>
      <c r="AK43" s="210" t="s">
        <v>1230</v>
      </c>
      <c r="AL43" s="322" t="s">
        <v>73</v>
      </c>
      <c r="AM43" s="245">
        <v>3108000</v>
      </c>
      <c r="AN43" s="245">
        <v>710400</v>
      </c>
      <c r="AQ43" s="124" t="s">
        <v>1231</v>
      </c>
      <c r="AR43" s="25" t="s">
        <v>260</v>
      </c>
      <c r="AS43" s="130" t="s">
        <v>1232</v>
      </c>
      <c r="AT43" s="322" t="s">
        <v>73</v>
      </c>
      <c r="AU43" s="245">
        <v>3499000</v>
      </c>
      <c r="AV43" s="326">
        <v>825070</v>
      </c>
      <c r="AW43" s="131">
        <v>2.75</v>
      </c>
      <c r="BP43" s="322" t="s">
        <v>268</v>
      </c>
      <c r="BQ43" s="25" t="s">
        <v>1233</v>
      </c>
      <c r="BR43" s="25" t="s">
        <v>81</v>
      </c>
      <c r="BS43" s="326">
        <f t="shared" si="9"/>
        <v>76000</v>
      </c>
      <c r="BT43" s="326">
        <v>30500</v>
      </c>
      <c r="BU43" s="31">
        <v>0.47</v>
      </c>
      <c r="BV43" s="255"/>
      <c r="CV43" s="123" t="s">
        <v>276</v>
      </c>
      <c r="CW43" s="123" t="s">
        <v>1234</v>
      </c>
      <c r="CX43" s="123" t="s">
        <v>278</v>
      </c>
      <c r="CY43" s="252">
        <v>263000</v>
      </c>
      <c r="CZ43" s="253">
        <f t="shared" si="4"/>
        <v>139390</v>
      </c>
      <c r="DA43" s="90">
        <v>0.6</v>
      </c>
      <c r="DT43" s="25" t="s">
        <v>1047</v>
      </c>
      <c r="DU43" s="25" t="s">
        <v>1235</v>
      </c>
      <c r="DV43" s="25" t="s">
        <v>290</v>
      </c>
      <c r="DW43" s="73">
        <v>1660000</v>
      </c>
      <c r="DX43" s="73">
        <v>913000.00000000012</v>
      </c>
      <c r="DY43" s="25">
        <v>4</v>
      </c>
      <c r="EI43" s="55" t="s">
        <v>1236</v>
      </c>
      <c r="EJ43" s="39" t="s">
        <v>1237</v>
      </c>
      <c r="EK43" s="39" t="s">
        <v>990</v>
      </c>
      <c r="EL43" s="39" t="s">
        <v>947</v>
      </c>
      <c r="EM43" s="227">
        <v>15000</v>
      </c>
      <c r="EN43" s="326">
        <v>2920</v>
      </c>
      <c r="EO43" s="50">
        <v>0.1</v>
      </c>
      <c r="EQ43" s="54" t="s">
        <v>1238</v>
      </c>
      <c r="ER43" s="25" t="s">
        <v>1217</v>
      </c>
      <c r="ES43" s="25" t="s">
        <v>1239</v>
      </c>
      <c r="ET43" s="25" t="s">
        <v>947</v>
      </c>
      <c r="EU43" s="337">
        <v>26100</v>
      </c>
      <c r="EV43" s="337">
        <v>12500</v>
      </c>
      <c r="EW43" s="31">
        <v>0</v>
      </c>
      <c r="EZ43" s="25" t="s">
        <v>1228</v>
      </c>
      <c r="FA43" s="25" t="s">
        <v>468</v>
      </c>
      <c r="FB43" s="25" t="s">
        <v>947</v>
      </c>
      <c r="FC43" s="222">
        <v>11000</v>
      </c>
      <c r="FD43" s="222">
        <f t="shared" si="3"/>
        <v>7150</v>
      </c>
      <c r="FE43" s="25">
        <v>0.18</v>
      </c>
      <c r="FQ43" s="41"/>
      <c r="FS43" s="42"/>
      <c r="GV43" s="25" t="s">
        <v>312</v>
      </c>
      <c r="GW43" s="25" t="s">
        <v>1233</v>
      </c>
      <c r="GX43" s="25" t="s">
        <v>81</v>
      </c>
      <c r="GY43" s="326">
        <f t="shared" si="10"/>
        <v>99000</v>
      </c>
      <c r="GZ43" s="326">
        <v>32800</v>
      </c>
      <c r="HA43" s="31">
        <v>0.47</v>
      </c>
      <c r="HC43" s="54"/>
      <c r="HG43" s="61"/>
      <c r="HH43" s="61"/>
    </row>
    <row r="44" spans="3:216">
      <c r="C44" s="115" t="s">
        <v>1240</v>
      </c>
      <c r="K44" s="92"/>
      <c r="M44" s="241"/>
      <c r="O44" s="230"/>
      <c r="P44" s="212"/>
      <c r="Q44" s="31"/>
      <c r="R44" s="72"/>
      <c r="W44" s="35"/>
      <c r="X44" s="71"/>
      <c r="Y44" s="31"/>
      <c r="Z44" s="72"/>
      <c r="AJ44" s="25" t="s">
        <v>1136</v>
      </c>
      <c r="AK44" s="210" t="s">
        <v>1241</v>
      </c>
      <c r="AL44" s="322" t="s">
        <v>73</v>
      </c>
      <c r="AM44" s="245">
        <v>3318000</v>
      </c>
      <c r="AN44" s="245">
        <v>758400</v>
      </c>
      <c r="BP44" s="322" t="s">
        <v>268</v>
      </c>
      <c r="BQ44" s="25" t="s">
        <v>1242</v>
      </c>
      <c r="BR44" s="25" t="s">
        <v>81</v>
      </c>
      <c r="BS44" s="326">
        <f t="shared" si="9"/>
        <v>72000</v>
      </c>
      <c r="BT44" s="326">
        <v>28800</v>
      </c>
      <c r="BU44" s="25">
        <v>0.34</v>
      </c>
      <c r="BV44" s="255"/>
      <c r="CV44" s="123" t="s">
        <v>276</v>
      </c>
      <c r="CW44" s="123" t="s">
        <v>1243</v>
      </c>
      <c r="CX44" s="123" t="s">
        <v>278</v>
      </c>
      <c r="CY44" s="252">
        <v>327000</v>
      </c>
      <c r="CZ44" s="253">
        <f t="shared" si="4"/>
        <v>173310</v>
      </c>
      <c r="DA44" s="90">
        <v>0.6</v>
      </c>
      <c r="DT44" s="25" t="s">
        <v>1047</v>
      </c>
      <c r="DU44" s="25" t="s">
        <v>1244</v>
      </c>
      <c r="DV44" s="25" t="s">
        <v>290</v>
      </c>
      <c r="DW44" s="73">
        <v>1978000</v>
      </c>
      <c r="DX44" s="73">
        <v>1087900</v>
      </c>
      <c r="DY44" s="25">
        <v>4</v>
      </c>
      <c r="EI44" s="55" t="s">
        <v>1245</v>
      </c>
      <c r="EJ44" s="33" t="s">
        <v>1246</v>
      </c>
      <c r="EK44" s="25" t="s">
        <v>1011</v>
      </c>
      <c r="EL44" s="25" t="s">
        <v>947</v>
      </c>
      <c r="EM44" s="227">
        <v>28900</v>
      </c>
      <c r="EN44" s="326">
        <v>6260</v>
      </c>
      <c r="EO44" s="31">
        <v>0.1</v>
      </c>
      <c r="EQ44" s="54" t="s">
        <v>1247</v>
      </c>
      <c r="ER44" s="25" t="s">
        <v>1217</v>
      </c>
      <c r="ES44" s="25" t="s">
        <v>1248</v>
      </c>
      <c r="ET44" s="25" t="s">
        <v>947</v>
      </c>
      <c r="EU44" s="337">
        <v>32200</v>
      </c>
      <c r="EV44" s="337">
        <v>15400</v>
      </c>
      <c r="EW44" s="31">
        <v>0</v>
      </c>
      <c r="EZ44" s="25" t="s">
        <v>1228</v>
      </c>
      <c r="FA44" s="25" t="s">
        <v>504</v>
      </c>
      <c r="FB44" s="25" t="s">
        <v>947</v>
      </c>
      <c r="FC44" s="222">
        <v>15300</v>
      </c>
      <c r="FD44" s="222">
        <f t="shared" si="3"/>
        <v>9945</v>
      </c>
      <c r="FE44" s="25">
        <v>0.18</v>
      </c>
      <c r="FQ44" s="41"/>
      <c r="FS44" s="42"/>
      <c r="GV44" s="25" t="s">
        <v>312</v>
      </c>
      <c r="GW44" s="25" t="s">
        <v>1242</v>
      </c>
      <c r="GX44" s="25" t="s">
        <v>81</v>
      </c>
      <c r="GY44" s="326">
        <f t="shared" si="10"/>
        <v>92000</v>
      </c>
      <c r="GZ44" s="326">
        <v>30400</v>
      </c>
      <c r="HA44" s="25">
        <v>0.34</v>
      </c>
      <c r="HC44" s="54"/>
      <c r="HG44" s="61"/>
      <c r="HH44" s="61"/>
    </row>
    <row r="45" spans="3:216">
      <c r="C45" s="197" t="s">
        <v>1249</v>
      </c>
      <c r="E45" s="198"/>
      <c r="K45" s="92"/>
      <c r="M45" s="241"/>
      <c r="O45" s="230"/>
      <c r="P45" s="212"/>
      <c r="Q45" s="31"/>
      <c r="R45" s="72"/>
      <c r="W45" s="35"/>
      <c r="X45" s="71"/>
      <c r="Y45" s="31"/>
      <c r="Z45" s="72"/>
      <c r="AJ45" s="25" t="s">
        <v>1136</v>
      </c>
      <c r="AK45" s="210" t="s">
        <v>1250</v>
      </c>
      <c r="AL45" s="322" t="s">
        <v>73</v>
      </c>
      <c r="AM45" s="245">
        <v>4274000</v>
      </c>
      <c r="AN45" s="245">
        <v>976800</v>
      </c>
      <c r="BP45" s="322" t="s">
        <v>268</v>
      </c>
      <c r="BQ45" s="25" t="s">
        <v>1251</v>
      </c>
      <c r="BR45" s="25" t="s">
        <v>81</v>
      </c>
      <c r="BS45" s="326">
        <f t="shared" si="9"/>
        <v>69000</v>
      </c>
      <c r="BT45" s="326">
        <v>27400</v>
      </c>
      <c r="BU45" s="25">
        <v>0.26</v>
      </c>
      <c r="BV45" s="255"/>
      <c r="CV45" s="123" t="s">
        <v>276</v>
      </c>
      <c r="CW45" s="123" t="s">
        <v>1252</v>
      </c>
      <c r="CX45" s="123" t="s">
        <v>278</v>
      </c>
      <c r="CY45" s="252">
        <v>396000</v>
      </c>
      <c r="CZ45" s="253">
        <f t="shared" si="4"/>
        <v>209880</v>
      </c>
      <c r="DA45" s="90">
        <v>0.7</v>
      </c>
      <c r="DT45" s="25" t="s">
        <v>1047</v>
      </c>
      <c r="DU45" s="25" t="s">
        <v>1253</v>
      </c>
      <c r="DV45" s="25" t="s">
        <v>290</v>
      </c>
      <c r="DW45" s="73">
        <v>2300000</v>
      </c>
      <c r="DX45" s="73">
        <v>1265000</v>
      </c>
      <c r="DY45" s="25">
        <v>4.5</v>
      </c>
      <c r="EI45" s="55" t="s">
        <v>1254</v>
      </c>
      <c r="EJ45" s="33" t="s">
        <v>1246</v>
      </c>
      <c r="EK45" s="25" t="s">
        <v>347</v>
      </c>
      <c r="EL45" s="25" t="s">
        <v>947</v>
      </c>
      <c r="EM45" s="227">
        <v>45700</v>
      </c>
      <c r="EN45" s="326">
        <v>14290</v>
      </c>
      <c r="EO45" s="31">
        <v>0.1</v>
      </c>
      <c r="EQ45" s="54" t="s">
        <v>1255</v>
      </c>
      <c r="ER45" s="25" t="s">
        <v>1208</v>
      </c>
      <c r="ES45" s="25" t="s">
        <v>1256</v>
      </c>
      <c r="ET45" s="25" t="s">
        <v>947</v>
      </c>
      <c r="EU45" s="337">
        <v>38400</v>
      </c>
      <c r="EV45" s="337">
        <v>18800</v>
      </c>
      <c r="EW45" s="31">
        <v>0</v>
      </c>
      <c r="EZ45" s="25" t="s">
        <v>1228</v>
      </c>
      <c r="FA45" s="25" t="s">
        <v>847</v>
      </c>
      <c r="FB45" s="25" t="s">
        <v>947</v>
      </c>
      <c r="FC45" s="222">
        <v>18800</v>
      </c>
      <c r="FD45" s="222">
        <f t="shared" si="3"/>
        <v>12220</v>
      </c>
      <c r="FE45" s="25">
        <v>0.18</v>
      </c>
      <c r="FQ45" s="41"/>
      <c r="FS45" s="42"/>
      <c r="GV45" s="25" t="s">
        <v>312</v>
      </c>
      <c r="GW45" s="25" t="s">
        <v>1251</v>
      </c>
      <c r="GX45" s="25" t="s">
        <v>81</v>
      </c>
      <c r="GY45" s="326">
        <f t="shared" si="10"/>
        <v>87000</v>
      </c>
      <c r="GZ45" s="326">
        <v>28600</v>
      </c>
      <c r="HA45" s="25">
        <v>0.26</v>
      </c>
      <c r="HC45" s="54"/>
      <c r="HG45" s="61"/>
      <c r="HH45" s="61"/>
    </row>
    <row r="46" spans="3:216">
      <c r="C46" s="32" t="s">
        <v>1257</v>
      </c>
      <c r="K46" s="92"/>
      <c r="M46" s="241"/>
      <c r="O46" s="230"/>
      <c r="P46" s="212"/>
      <c r="Q46" s="31"/>
      <c r="R46" s="72"/>
      <c r="W46" s="35"/>
      <c r="X46" s="71"/>
      <c r="Y46" s="31"/>
      <c r="Z46" s="72"/>
      <c r="AJ46" s="25" t="s">
        <v>1136</v>
      </c>
      <c r="AK46" s="210" t="s">
        <v>1258</v>
      </c>
      <c r="AL46" s="322" t="s">
        <v>73</v>
      </c>
      <c r="AM46" s="245">
        <v>4641000</v>
      </c>
      <c r="AN46" s="245">
        <v>1060800</v>
      </c>
      <c r="BP46" s="322" t="s">
        <v>268</v>
      </c>
      <c r="BQ46" s="25" t="s">
        <v>1259</v>
      </c>
      <c r="BR46" s="25" t="s">
        <v>81</v>
      </c>
      <c r="BS46" s="326">
        <f t="shared" si="9"/>
        <v>66000</v>
      </c>
      <c r="BT46" s="326">
        <v>26200</v>
      </c>
      <c r="BU46" s="25">
        <v>0.17</v>
      </c>
      <c r="BV46" s="255"/>
      <c r="CV46" s="78" t="s">
        <v>334</v>
      </c>
      <c r="CW46" s="78"/>
      <c r="CX46" s="78"/>
      <c r="CY46" s="96"/>
      <c r="CZ46" s="84"/>
      <c r="DA46" s="89"/>
      <c r="DT46" s="25" t="s">
        <v>1047</v>
      </c>
      <c r="DU46" s="25" t="s">
        <v>1260</v>
      </c>
      <c r="DV46" s="25" t="s">
        <v>290</v>
      </c>
      <c r="DW46" s="73">
        <v>2600000</v>
      </c>
      <c r="DX46" s="73">
        <v>1430000</v>
      </c>
      <c r="DY46" s="25">
        <v>4.5</v>
      </c>
      <c r="EJ46" s="25" t="s">
        <v>1261</v>
      </c>
      <c r="EK46" s="25" t="s">
        <v>387</v>
      </c>
      <c r="EL46" s="25" t="s">
        <v>947</v>
      </c>
      <c r="EM46" s="220">
        <v>76300</v>
      </c>
      <c r="EN46" s="220">
        <v>34340</v>
      </c>
      <c r="EO46" s="31">
        <v>0.3</v>
      </c>
      <c r="ER46" s="23" t="s">
        <v>369</v>
      </c>
      <c r="EZ46" s="25" t="s">
        <v>1228</v>
      </c>
      <c r="FA46" s="25" t="s">
        <v>544</v>
      </c>
      <c r="FB46" s="25" t="s">
        <v>947</v>
      </c>
      <c r="FC46" s="222">
        <v>22100</v>
      </c>
      <c r="FD46" s="222">
        <f t="shared" si="3"/>
        <v>14365</v>
      </c>
      <c r="FE46" s="25">
        <v>0.2</v>
      </c>
      <c r="FQ46" s="41"/>
      <c r="FS46" s="42"/>
      <c r="GV46" s="25" t="s">
        <v>312</v>
      </c>
      <c r="GW46" s="25" t="s">
        <v>1259</v>
      </c>
      <c r="GX46" s="25" t="s">
        <v>81</v>
      </c>
      <c r="GY46" s="326">
        <f t="shared" si="10"/>
        <v>82000</v>
      </c>
      <c r="GZ46" s="326">
        <v>27000</v>
      </c>
      <c r="HA46" s="25">
        <v>0.17</v>
      </c>
      <c r="HC46" s="54"/>
      <c r="HG46" s="61"/>
      <c r="HH46" s="61"/>
    </row>
    <row r="47" spans="3:216">
      <c r="C47" s="210" t="s">
        <v>1262</v>
      </c>
      <c r="K47" s="92"/>
      <c r="M47" s="241"/>
      <c r="O47" s="230"/>
      <c r="P47" s="212"/>
      <c r="Q47" s="31"/>
      <c r="R47" s="72"/>
      <c r="W47" s="35"/>
      <c r="X47" s="71"/>
      <c r="Y47" s="31"/>
      <c r="Z47" s="72"/>
      <c r="AJ47" s="23" t="s">
        <v>402</v>
      </c>
      <c r="BP47" s="23" t="s">
        <v>369</v>
      </c>
      <c r="BV47" s="255"/>
      <c r="CV47" s="123" t="s">
        <v>276</v>
      </c>
      <c r="CW47" s="123" t="s">
        <v>1263</v>
      </c>
      <c r="CX47" s="123" t="s">
        <v>278</v>
      </c>
      <c r="CY47" s="252">
        <v>214000</v>
      </c>
      <c r="CZ47" s="253">
        <f t="shared" si="4"/>
        <v>113420</v>
      </c>
      <c r="DA47" s="90">
        <v>0.6</v>
      </c>
      <c r="DT47" s="25" t="s">
        <v>1047</v>
      </c>
      <c r="DU47" s="25" t="s">
        <v>1264</v>
      </c>
      <c r="DV47" s="25" t="s">
        <v>290</v>
      </c>
      <c r="DW47" s="73">
        <v>3020000</v>
      </c>
      <c r="DX47" s="73">
        <v>1661000.0000000002</v>
      </c>
      <c r="DY47" s="25">
        <v>4.5</v>
      </c>
      <c r="EJ47" s="25" t="s">
        <v>1261</v>
      </c>
      <c r="EK47" s="25" t="s">
        <v>427</v>
      </c>
      <c r="EL47" s="25" t="s">
        <v>947</v>
      </c>
      <c r="EM47" s="220">
        <v>105800</v>
      </c>
      <c r="EN47" s="220">
        <v>47610</v>
      </c>
      <c r="EO47" s="31">
        <v>0.3</v>
      </c>
      <c r="EQ47" s="54" t="s">
        <v>1265</v>
      </c>
      <c r="ER47" s="25" t="s">
        <v>1266</v>
      </c>
      <c r="ES47" s="25" t="s">
        <v>1267</v>
      </c>
      <c r="ET47" s="25" t="s">
        <v>1268</v>
      </c>
      <c r="EU47" s="227">
        <v>1990</v>
      </c>
      <c r="EV47" s="326">
        <v>620</v>
      </c>
      <c r="EW47" s="31">
        <v>0</v>
      </c>
      <c r="EZ47" s="25" t="s">
        <v>1228</v>
      </c>
      <c r="FA47" s="25" t="s">
        <v>575</v>
      </c>
      <c r="FB47" s="25" t="s">
        <v>947</v>
      </c>
      <c r="FC47" s="222">
        <v>34400</v>
      </c>
      <c r="FD47" s="222">
        <f t="shared" si="3"/>
        <v>22360</v>
      </c>
      <c r="FE47" s="25">
        <v>0.2</v>
      </c>
      <c r="FQ47" s="41"/>
      <c r="FS47" s="42"/>
      <c r="GV47" s="23" t="s">
        <v>369</v>
      </c>
    </row>
    <row r="48" spans="3:216">
      <c r="C48" s="224" t="s">
        <v>1269</v>
      </c>
      <c r="K48" s="92"/>
      <c r="M48" s="241"/>
      <c r="O48" s="230"/>
      <c r="P48" s="212"/>
      <c r="Q48" s="31"/>
      <c r="R48" s="72"/>
      <c r="W48" s="35"/>
      <c r="X48" s="71"/>
      <c r="Y48" s="31"/>
      <c r="Z48" s="72"/>
      <c r="AJ48" s="25" t="s">
        <v>1136</v>
      </c>
      <c r="AK48" s="210" t="s">
        <v>1270</v>
      </c>
      <c r="AL48" s="322" t="s">
        <v>73</v>
      </c>
      <c r="AM48" s="245">
        <v>3623000</v>
      </c>
      <c r="AN48" s="245">
        <v>828000</v>
      </c>
      <c r="BP48" s="322" t="s">
        <v>268</v>
      </c>
      <c r="BQ48" s="25" t="s">
        <v>1271</v>
      </c>
      <c r="BR48" s="25" t="s">
        <v>81</v>
      </c>
      <c r="BS48" s="326">
        <f t="shared" si="9"/>
        <v>101000</v>
      </c>
      <c r="BT48" s="326">
        <v>40500</v>
      </c>
      <c r="BU48" s="31">
        <v>0.94</v>
      </c>
      <c r="BV48" s="255"/>
      <c r="CV48" s="123" t="s">
        <v>276</v>
      </c>
      <c r="CW48" s="123" t="s">
        <v>1272</v>
      </c>
      <c r="CX48" s="123" t="s">
        <v>278</v>
      </c>
      <c r="CY48" s="252">
        <v>263000</v>
      </c>
      <c r="CZ48" s="253">
        <f t="shared" si="4"/>
        <v>139390</v>
      </c>
      <c r="DA48" s="90">
        <v>0.7</v>
      </c>
      <c r="DT48" s="23" t="s">
        <v>369</v>
      </c>
      <c r="EJ48" s="25" t="s">
        <v>1261</v>
      </c>
      <c r="EK48" s="25" t="s">
        <v>468</v>
      </c>
      <c r="EL48" s="25" t="s">
        <v>947</v>
      </c>
      <c r="EM48" s="220">
        <v>134400</v>
      </c>
      <c r="EN48" s="220">
        <v>60480</v>
      </c>
      <c r="EO48" s="31">
        <v>0.3</v>
      </c>
      <c r="EQ48" s="54" t="s">
        <v>1273</v>
      </c>
      <c r="ER48" s="25" t="s">
        <v>1266</v>
      </c>
      <c r="ES48" s="25" t="s">
        <v>1274</v>
      </c>
      <c r="ET48" s="25" t="s">
        <v>1268</v>
      </c>
      <c r="EU48" s="227">
        <v>2240</v>
      </c>
      <c r="EV48" s="326">
        <v>660</v>
      </c>
      <c r="EW48" s="31">
        <v>0</v>
      </c>
      <c r="EZ48" s="25" t="s">
        <v>1228</v>
      </c>
      <c r="FA48" s="25" t="s">
        <v>610</v>
      </c>
      <c r="FB48" s="25" t="s">
        <v>947</v>
      </c>
      <c r="FC48" s="222">
        <v>39500</v>
      </c>
      <c r="FD48" s="222">
        <f t="shared" si="3"/>
        <v>25675</v>
      </c>
      <c r="FE48" s="25">
        <v>0.24</v>
      </c>
      <c r="FQ48" s="41"/>
      <c r="FS48" s="42"/>
      <c r="GV48" s="25" t="s">
        <v>312</v>
      </c>
      <c r="GW48" s="25" t="s">
        <v>1271</v>
      </c>
      <c r="GX48" s="25" t="s">
        <v>81</v>
      </c>
      <c r="GY48" s="326">
        <f t="shared" si="10"/>
        <v>136000</v>
      </c>
      <c r="GZ48" s="326">
        <v>45000</v>
      </c>
      <c r="HA48" s="31">
        <v>0.94</v>
      </c>
    </row>
    <row r="49" spans="3:209">
      <c r="C49" s="243" t="s">
        <v>1275</v>
      </c>
      <c r="K49" s="92"/>
      <c r="M49" s="241"/>
      <c r="O49" s="230"/>
      <c r="P49" s="212"/>
      <c r="Q49" s="31"/>
      <c r="R49" s="72"/>
      <c r="U49" s="34"/>
      <c r="W49" s="35"/>
      <c r="X49" s="71"/>
      <c r="Y49" s="31"/>
      <c r="Z49" s="72"/>
      <c r="AJ49" s="25" t="s">
        <v>1136</v>
      </c>
      <c r="AK49" s="210" t="s">
        <v>1276</v>
      </c>
      <c r="AL49" s="322" t="s">
        <v>73</v>
      </c>
      <c r="AM49" s="245">
        <v>4421000</v>
      </c>
      <c r="AN49" s="245">
        <v>1010400</v>
      </c>
      <c r="BP49" s="322" t="s">
        <v>268</v>
      </c>
      <c r="BQ49" s="25" t="s">
        <v>1277</v>
      </c>
      <c r="BR49" s="25" t="s">
        <v>81</v>
      </c>
      <c r="BS49" s="326">
        <f t="shared" si="9"/>
        <v>90000</v>
      </c>
      <c r="BT49" s="326">
        <v>36000</v>
      </c>
      <c r="BU49" s="31">
        <v>0.68</v>
      </c>
      <c r="CV49" s="123" t="s">
        <v>276</v>
      </c>
      <c r="CW49" s="123" t="s">
        <v>1278</v>
      </c>
      <c r="CX49" s="123" t="s">
        <v>278</v>
      </c>
      <c r="CY49" s="252">
        <v>321000</v>
      </c>
      <c r="CZ49" s="253">
        <f t="shared" si="4"/>
        <v>170130</v>
      </c>
      <c r="DA49" s="90">
        <v>0.7</v>
      </c>
      <c r="DT49" s="25" t="s">
        <v>1047</v>
      </c>
      <c r="DU49" s="78" t="s">
        <v>1279</v>
      </c>
      <c r="DV49" s="78" t="s">
        <v>290</v>
      </c>
      <c r="DW49" s="101">
        <v>28000</v>
      </c>
      <c r="DX49" s="101">
        <f>DW49*0.55</f>
        <v>15400.000000000002</v>
      </c>
      <c r="EI49" s="55" t="s">
        <v>1280</v>
      </c>
      <c r="EJ49" s="25" t="s">
        <v>1281</v>
      </c>
      <c r="EK49" s="136" t="s">
        <v>1282</v>
      </c>
      <c r="EL49" s="25" t="s">
        <v>53</v>
      </c>
      <c r="EM49" s="251">
        <v>103100</v>
      </c>
      <c r="EN49" s="326">
        <v>22710</v>
      </c>
      <c r="EO49" s="31">
        <v>0.4</v>
      </c>
      <c r="EQ49" s="54" t="s">
        <v>1283</v>
      </c>
      <c r="ER49" s="25" t="s">
        <v>1266</v>
      </c>
      <c r="ES49" s="25" t="s">
        <v>1284</v>
      </c>
      <c r="ET49" s="25" t="s">
        <v>1268</v>
      </c>
      <c r="EU49" s="227">
        <v>2370</v>
      </c>
      <c r="EV49" s="326">
        <v>700</v>
      </c>
      <c r="EW49" s="31">
        <v>0</v>
      </c>
      <c r="EZ49" s="25" t="s">
        <v>1285</v>
      </c>
      <c r="FA49" s="25" t="s">
        <v>427</v>
      </c>
      <c r="FB49" s="25" t="s">
        <v>947</v>
      </c>
      <c r="FC49" s="222">
        <v>53600</v>
      </c>
      <c r="FD49" s="222">
        <f t="shared" si="3"/>
        <v>34840</v>
      </c>
      <c r="FE49" s="25">
        <v>0.16</v>
      </c>
      <c r="FQ49" s="41"/>
      <c r="FS49" s="42"/>
      <c r="GV49" s="25" t="s">
        <v>312</v>
      </c>
      <c r="GW49" s="25" t="s">
        <v>1277</v>
      </c>
      <c r="GX49" s="25" t="s">
        <v>81</v>
      </c>
      <c r="GY49" s="326">
        <f t="shared" si="10"/>
        <v>118000</v>
      </c>
      <c r="GZ49" s="326">
        <v>39100</v>
      </c>
      <c r="HA49" s="31">
        <v>0.68</v>
      </c>
    </row>
    <row r="50" spans="3:209">
      <c r="C50" s="322" t="s">
        <v>1286</v>
      </c>
      <c r="K50" s="92"/>
      <c r="M50" s="241"/>
      <c r="O50" s="230"/>
      <c r="P50" s="212"/>
      <c r="Q50" s="31"/>
      <c r="R50" s="72"/>
      <c r="U50" s="34"/>
      <c r="W50" s="35"/>
      <c r="X50" s="71"/>
      <c r="Y50" s="31"/>
      <c r="Z50" s="72"/>
      <c r="AJ50" s="25" t="s">
        <v>1136</v>
      </c>
      <c r="AK50" s="210" t="s">
        <v>1287</v>
      </c>
      <c r="AL50" s="322" t="s">
        <v>73</v>
      </c>
      <c r="AM50" s="245">
        <v>4641000</v>
      </c>
      <c r="AN50" s="245">
        <v>1060800</v>
      </c>
      <c r="BP50" s="322" t="s">
        <v>268</v>
      </c>
      <c r="BQ50" s="25" t="s">
        <v>1288</v>
      </c>
      <c r="BR50" s="25" t="s">
        <v>81</v>
      </c>
      <c r="BS50" s="326">
        <f t="shared" si="9"/>
        <v>86000</v>
      </c>
      <c r="BT50" s="326">
        <v>34400</v>
      </c>
      <c r="BU50" s="31">
        <v>0.6</v>
      </c>
      <c r="CV50" s="123" t="s">
        <v>276</v>
      </c>
      <c r="CW50" s="123" t="s">
        <v>1289</v>
      </c>
      <c r="CX50" s="123" t="s">
        <v>73</v>
      </c>
      <c r="CY50" s="252">
        <v>402000</v>
      </c>
      <c r="CZ50" s="253">
        <f t="shared" si="4"/>
        <v>213060</v>
      </c>
      <c r="DA50" s="90">
        <v>0.8</v>
      </c>
      <c r="DT50" s="25" t="s">
        <v>1047</v>
      </c>
      <c r="DU50" s="78" t="s">
        <v>1290</v>
      </c>
      <c r="DV50" s="78" t="s">
        <v>290</v>
      </c>
      <c r="DW50" s="101">
        <v>47000</v>
      </c>
      <c r="DX50" s="101">
        <f t="shared" ref="DX50:DX84" si="12">DW50*0.55</f>
        <v>25850.000000000004</v>
      </c>
      <c r="EI50" s="55" t="s">
        <v>1291</v>
      </c>
      <c r="EJ50" s="25" t="s">
        <v>1281</v>
      </c>
      <c r="EK50" s="136" t="s">
        <v>1292</v>
      </c>
      <c r="EL50" s="25" t="s">
        <v>53</v>
      </c>
      <c r="EM50" s="245">
        <v>130200</v>
      </c>
      <c r="EN50" s="326">
        <v>28900</v>
      </c>
      <c r="EO50" s="31">
        <v>0.4</v>
      </c>
      <c r="EQ50" s="54" t="s">
        <v>1293</v>
      </c>
      <c r="ER50" s="25" t="s">
        <v>1266</v>
      </c>
      <c r="ES50" s="25" t="s">
        <v>1294</v>
      </c>
      <c r="ET50" s="25" t="s">
        <v>1268</v>
      </c>
      <c r="EU50" s="227">
        <v>2870</v>
      </c>
      <c r="EV50" s="326">
        <v>740</v>
      </c>
      <c r="EW50" s="31">
        <v>0</v>
      </c>
      <c r="EZ50" s="25" t="s">
        <v>1285</v>
      </c>
      <c r="FA50" s="25" t="s">
        <v>468</v>
      </c>
      <c r="FB50" s="25" t="s">
        <v>947</v>
      </c>
      <c r="FC50" s="222">
        <v>65100</v>
      </c>
      <c r="FD50" s="222">
        <f t="shared" si="3"/>
        <v>42315</v>
      </c>
      <c r="FE50" s="25">
        <v>0.18</v>
      </c>
      <c r="FQ50" s="41"/>
      <c r="FS50" s="42"/>
      <c r="GV50" s="25" t="s">
        <v>312</v>
      </c>
      <c r="GW50" s="25" t="s">
        <v>1288</v>
      </c>
      <c r="GX50" s="25" t="s">
        <v>81</v>
      </c>
      <c r="GY50" s="326">
        <f t="shared" si="10"/>
        <v>112000</v>
      </c>
      <c r="GZ50" s="326">
        <v>37100</v>
      </c>
      <c r="HA50" s="31">
        <v>0.6</v>
      </c>
    </row>
    <row r="51" spans="3:209">
      <c r="K51" s="92"/>
      <c r="M51" s="241"/>
      <c r="O51" s="230"/>
      <c r="P51" s="212"/>
      <c r="Q51" s="31"/>
      <c r="R51" s="72"/>
      <c r="U51" s="34"/>
      <c r="W51" s="35"/>
      <c r="X51" s="71"/>
      <c r="Y51" s="31"/>
      <c r="Z51" s="72"/>
      <c r="AJ51" s="25" t="s">
        <v>1136</v>
      </c>
      <c r="AK51" s="210" t="s">
        <v>1295</v>
      </c>
      <c r="AL51" s="322" t="s">
        <v>73</v>
      </c>
      <c r="AM51" s="245">
        <v>5975000</v>
      </c>
      <c r="AN51" s="245">
        <v>1365600</v>
      </c>
      <c r="BP51" s="322" t="s">
        <v>268</v>
      </c>
      <c r="BQ51" s="25" t="s">
        <v>1296</v>
      </c>
      <c r="BR51" s="25" t="s">
        <v>81</v>
      </c>
      <c r="BS51" s="326">
        <f t="shared" si="9"/>
        <v>82000</v>
      </c>
      <c r="BT51" s="326">
        <v>32800</v>
      </c>
      <c r="BU51" s="31">
        <v>0.55000000000000004</v>
      </c>
      <c r="CV51" s="123" t="s">
        <v>276</v>
      </c>
      <c r="CW51" s="123" t="s">
        <v>1297</v>
      </c>
      <c r="CX51" s="123" t="s">
        <v>73</v>
      </c>
      <c r="CY51" s="252">
        <v>501000</v>
      </c>
      <c r="CZ51" s="253">
        <f t="shared" si="4"/>
        <v>265530</v>
      </c>
      <c r="DA51" s="90">
        <v>1.2</v>
      </c>
      <c r="DT51" s="25" t="s">
        <v>1047</v>
      </c>
      <c r="DU51" s="78" t="s">
        <v>1298</v>
      </c>
      <c r="DV51" s="78" t="s">
        <v>290</v>
      </c>
      <c r="DW51" s="101">
        <v>68000</v>
      </c>
      <c r="DX51" s="101">
        <f t="shared" si="12"/>
        <v>37400</v>
      </c>
      <c r="EI51" s="55" t="s">
        <v>1299</v>
      </c>
      <c r="EJ51" s="25" t="s">
        <v>1281</v>
      </c>
      <c r="EK51" s="136" t="s">
        <v>1300</v>
      </c>
      <c r="EL51" s="25" t="s">
        <v>53</v>
      </c>
      <c r="EM51" s="245">
        <v>165600</v>
      </c>
      <c r="EN51" s="326">
        <v>21800</v>
      </c>
      <c r="EO51" s="31">
        <v>0.4</v>
      </c>
      <c r="EQ51" s="54" t="s">
        <v>1301</v>
      </c>
      <c r="ER51" s="25" t="s">
        <v>1266</v>
      </c>
      <c r="ES51" s="25" t="s">
        <v>1302</v>
      </c>
      <c r="ET51" s="25" t="s">
        <v>1268</v>
      </c>
      <c r="EU51" s="227">
        <v>3120</v>
      </c>
      <c r="EV51" s="326">
        <v>840</v>
      </c>
      <c r="EW51" s="31">
        <v>0</v>
      </c>
      <c r="EZ51" s="25" t="s">
        <v>1285</v>
      </c>
      <c r="FA51" s="25" t="s">
        <v>504</v>
      </c>
      <c r="FB51" s="25" t="s">
        <v>947</v>
      </c>
      <c r="FC51" s="222">
        <v>80300</v>
      </c>
      <c r="FD51" s="222">
        <f t="shared" si="3"/>
        <v>52195</v>
      </c>
      <c r="FE51" s="25">
        <v>0.18</v>
      </c>
      <c r="FQ51" s="41"/>
      <c r="FS51" s="42"/>
      <c r="GV51" s="25" t="s">
        <v>312</v>
      </c>
      <c r="GW51" s="25" t="s">
        <v>1296</v>
      </c>
      <c r="GX51" s="25" t="s">
        <v>81</v>
      </c>
      <c r="GY51" s="326">
        <f t="shared" si="10"/>
        <v>105000</v>
      </c>
      <c r="GZ51" s="326">
        <v>34600</v>
      </c>
      <c r="HA51" s="31">
        <v>0.55000000000000004</v>
      </c>
    </row>
    <row r="52" spans="3:209">
      <c r="K52" s="92"/>
      <c r="M52" s="241"/>
      <c r="O52" s="230"/>
      <c r="P52" s="212"/>
      <c r="Q52" s="31"/>
      <c r="R52" s="72"/>
      <c r="U52" s="34"/>
      <c r="W52" s="35"/>
      <c r="X52" s="71"/>
      <c r="Y52" s="31"/>
      <c r="Z52" s="72"/>
      <c r="AJ52" s="25" t="s">
        <v>1136</v>
      </c>
      <c r="AK52" s="210" t="s">
        <v>1303</v>
      </c>
      <c r="AL52" s="322" t="s">
        <v>73</v>
      </c>
      <c r="AM52" s="245">
        <v>6269000</v>
      </c>
      <c r="AN52" s="245">
        <v>1432800</v>
      </c>
      <c r="BP52" s="322" t="s">
        <v>268</v>
      </c>
      <c r="BQ52" s="25" t="s">
        <v>1304</v>
      </c>
      <c r="BR52" s="25" t="s">
        <v>81</v>
      </c>
      <c r="BS52" s="326">
        <f t="shared" si="9"/>
        <v>80000</v>
      </c>
      <c r="BT52" s="326">
        <v>32000</v>
      </c>
      <c r="BU52" s="31">
        <v>0.47</v>
      </c>
      <c r="CV52" s="78" t="s">
        <v>334</v>
      </c>
      <c r="CW52" s="78"/>
      <c r="CX52" s="78"/>
      <c r="CY52" s="96"/>
      <c r="CZ52" s="84"/>
      <c r="DA52" s="89"/>
      <c r="DT52" s="25" t="s">
        <v>1047</v>
      </c>
      <c r="DU52" s="78" t="s">
        <v>1305</v>
      </c>
      <c r="DV52" s="78" t="s">
        <v>290</v>
      </c>
      <c r="DW52" s="101">
        <v>88000</v>
      </c>
      <c r="DX52" s="101">
        <f t="shared" si="12"/>
        <v>48400.000000000007</v>
      </c>
      <c r="EI52" s="55" t="s">
        <v>1306</v>
      </c>
      <c r="EJ52" s="25" t="s">
        <v>1307</v>
      </c>
      <c r="EK52" s="136" t="s">
        <v>1308</v>
      </c>
      <c r="EL52" s="25" t="s">
        <v>53</v>
      </c>
      <c r="EM52" s="326">
        <v>52000</v>
      </c>
      <c r="EN52" s="326">
        <v>9910</v>
      </c>
      <c r="EO52" s="31">
        <v>0.1</v>
      </c>
      <c r="ER52" s="23" t="s">
        <v>369</v>
      </c>
      <c r="EW52" s="31"/>
      <c r="EZ52" s="25" t="s">
        <v>1285</v>
      </c>
      <c r="FA52" s="25" t="s">
        <v>847</v>
      </c>
      <c r="FB52" s="25" t="s">
        <v>947</v>
      </c>
      <c r="FC52" s="222">
        <v>88600</v>
      </c>
      <c r="FD52" s="222">
        <f t="shared" si="3"/>
        <v>57590</v>
      </c>
      <c r="FE52" s="25">
        <v>0.18</v>
      </c>
      <c r="FQ52" s="41"/>
      <c r="FS52" s="42"/>
      <c r="GV52" s="25" t="s">
        <v>312</v>
      </c>
      <c r="GW52" s="25" t="s">
        <v>1304</v>
      </c>
      <c r="GX52" s="25" t="s">
        <v>81</v>
      </c>
      <c r="GY52" s="326">
        <f t="shared" si="10"/>
        <v>104000</v>
      </c>
      <c r="GZ52" s="326">
        <v>34200</v>
      </c>
      <c r="HA52" s="31">
        <v>0.47</v>
      </c>
    </row>
    <row r="53" spans="3:209">
      <c r="K53" s="92"/>
      <c r="M53" s="241"/>
      <c r="O53" s="230"/>
      <c r="P53" s="212"/>
      <c r="Q53" s="31"/>
      <c r="R53" s="72"/>
      <c r="U53" s="34"/>
      <c r="W53" s="35"/>
      <c r="X53" s="71"/>
      <c r="Y53" s="31"/>
      <c r="Z53" s="72"/>
      <c r="BP53" s="322" t="s">
        <v>268</v>
      </c>
      <c r="BQ53" s="25" t="s">
        <v>1309</v>
      </c>
      <c r="BR53" s="25" t="s">
        <v>81</v>
      </c>
      <c r="BS53" s="326">
        <f t="shared" si="9"/>
        <v>74000</v>
      </c>
      <c r="BT53" s="326">
        <v>29700</v>
      </c>
      <c r="BU53" s="25">
        <v>0.34</v>
      </c>
      <c r="CV53" s="123" t="s">
        <v>276</v>
      </c>
      <c r="CW53" s="123" t="s">
        <v>1310</v>
      </c>
      <c r="CX53" s="123" t="s">
        <v>278</v>
      </c>
      <c r="CY53" s="252">
        <v>294000</v>
      </c>
      <c r="CZ53" s="253">
        <f t="shared" si="4"/>
        <v>155820</v>
      </c>
      <c r="DA53" s="90">
        <v>0.8</v>
      </c>
      <c r="DT53" s="25" t="s">
        <v>1047</v>
      </c>
      <c r="DU53" s="78" t="s">
        <v>1311</v>
      </c>
      <c r="DV53" s="78" t="s">
        <v>290</v>
      </c>
      <c r="DW53" s="101">
        <v>107000</v>
      </c>
      <c r="DX53" s="101">
        <f t="shared" si="12"/>
        <v>58850.000000000007</v>
      </c>
      <c r="EI53" s="55" t="s">
        <v>1312</v>
      </c>
      <c r="EJ53" s="25" t="s">
        <v>1307</v>
      </c>
      <c r="EK53" s="136" t="s">
        <v>1313</v>
      </c>
      <c r="EL53" s="25" t="s">
        <v>53</v>
      </c>
      <c r="EM53" s="326">
        <v>63400</v>
      </c>
      <c r="EN53" s="326">
        <v>11790</v>
      </c>
      <c r="EO53" s="31">
        <v>0.1</v>
      </c>
      <c r="EQ53" s="54" t="s">
        <v>1314</v>
      </c>
      <c r="ER53" s="25" t="s">
        <v>1315</v>
      </c>
      <c r="ES53" s="25" t="s">
        <v>1316</v>
      </c>
      <c r="ET53" s="25" t="s">
        <v>108</v>
      </c>
      <c r="EU53" s="326">
        <v>19200</v>
      </c>
      <c r="EV53" s="326">
        <v>6300</v>
      </c>
      <c r="EW53" s="31">
        <v>0</v>
      </c>
      <c r="EZ53" s="25" t="s">
        <v>1285</v>
      </c>
      <c r="FA53" s="25" t="s">
        <v>544</v>
      </c>
      <c r="FB53" s="25" t="s">
        <v>947</v>
      </c>
      <c r="FC53" s="222">
        <v>97300</v>
      </c>
      <c r="FD53" s="222">
        <f t="shared" si="3"/>
        <v>63245</v>
      </c>
      <c r="FE53" s="25">
        <v>0.2</v>
      </c>
      <c r="FQ53" s="41"/>
      <c r="FS53" s="42"/>
      <c r="GV53" s="25" t="s">
        <v>312</v>
      </c>
      <c r="GW53" s="25" t="s">
        <v>1309</v>
      </c>
      <c r="GX53" s="25" t="s">
        <v>81</v>
      </c>
      <c r="GY53" s="326">
        <f t="shared" si="10"/>
        <v>95000</v>
      </c>
      <c r="GZ53" s="326">
        <v>31400</v>
      </c>
      <c r="HA53" s="25">
        <v>0.34</v>
      </c>
    </row>
    <row r="54" spans="3:209">
      <c r="K54" s="92"/>
      <c r="M54" s="241"/>
      <c r="O54" s="230"/>
      <c r="P54" s="230"/>
      <c r="Q54" s="31"/>
      <c r="U54" s="34"/>
      <c r="W54" s="35"/>
      <c r="X54" s="71"/>
      <c r="Y54" s="31"/>
      <c r="Z54" s="72"/>
      <c r="BP54" s="322" t="s">
        <v>268</v>
      </c>
      <c r="BQ54" s="25" t="s">
        <v>1317</v>
      </c>
      <c r="BR54" s="25" t="s">
        <v>81</v>
      </c>
      <c r="BS54" s="326">
        <f t="shared" si="9"/>
        <v>71000</v>
      </c>
      <c r="BT54" s="326">
        <v>28200</v>
      </c>
      <c r="BU54" s="25">
        <v>0.26</v>
      </c>
      <c r="CV54" s="123" t="s">
        <v>276</v>
      </c>
      <c r="CW54" s="123" t="s">
        <v>1318</v>
      </c>
      <c r="CX54" s="123" t="s">
        <v>278</v>
      </c>
      <c r="CY54" s="252">
        <v>312000</v>
      </c>
      <c r="CZ54" s="253">
        <f t="shared" si="4"/>
        <v>165360</v>
      </c>
      <c r="DA54" s="90">
        <v>0.8</v>
      </c>
      <c r="DT54" s="25" t="s">
        <v>1047</v>
      </c>
      <c r="DU54" s="78" t="s">
        <v>1319</v>
      </c>
      <c r="DV54" s="78" t="s">
        <v>290</v>
      </c>
      <c r="DW54" s="101">
        <v>136000</v>
      </c>
      <c r="DX54" s="101">
        <f t="shared" si="12"/>
        <v>74800</v>
      </c>
      <c r="EI54" s="55" t="s">
        <v>1320</v>
      </c>
      <c r="EJ54" s="23" t="s">
        <v>1321</v>
      </c>
      <c r="EK54" s="136" t="s">
        <v>1322</v>
      </c>
      <c r="EL54" s="25" t="s">
        <v>81</v>
      </c>
      <c r="EM54" s="227">
        <v>109700</v>
      </c>
      <c r="EN54" s="326">
        <v>31520</v>
      </c>
      <c r="EO54" s="31">
        <v>0.2</v>
      </c>
      <c r="ER54" s="23" t="s">
        <v>369</v>
      </c>
      <c r="EZ54" s="25" t="s">
        <v>1285</v>
      </c>
      <c r="FA54" s="25" t="s">
        <v>575</v>
      </c>
      <c r="FB54" s="25" t="s">
        <v>947</v>
      </c>
      <c r="FC54" s="222">
        <v>108900</v>
      </c>
      <c r="FD54" s="222">
        <f t="shared" si="3"/>
        <v>70785</v>
      </c>
      <c r="FE54" s="25">
        <v>0.2</v>
      </c>
      <c r="FQ54" s="41"/>
      <c r="FS54" s="42"/>
      <c r="GV54" s="25" t="s">
        <v>312</v>
      </c>
      <c r="GW54" s="25" t="s">
        <v>1317</v>
      </c>
      <c r="GX54" s="25" t="s">
        <v>81</v>
      </c>
      <c r="GY54" s="326">
        <f t="shared" si="10"/>
        <v>89000</v>
      </c>
      <c r="GZ54" s="326">
        <v>29400</v>
      </c>
      <c r="HA54" s="25">
        <v>0.26</v>
      </c>
    </row>
    <row r="55" spans="3:209">
      <c r="K55" s="92"/>
      <c r="M55" s="241"/>
      <c r="O55" s="230"/>
      <c r="P55" s="230"/>
      <c r="Q55" s="31"/>
      <c r="U55" s="34"/>
      <c r="W55" s="35"/>
      <c r="X55" s="71"/>
      <c r="Y55" s="31"/>
      <c r="Z55" s="72"/>
      <c r="AZ55" s="23"/>
      <c r="BP55" s="322" t="s">
        <v>268</v>
      </c>
      <c r="BQ55" s="25" t="s">
        <v>1323</v>
      </c>
      <c r="BR55" s="25" t="s">
        <v>81</v>
      </c>
      <c r="BS55" s="326">
        <f t="shared" si="9"/>
        <v>67000</v>
      </c>
      <c r="BT55" s="326">
        <v>26600</v>
      </c>
      <c r="BU55" s="25">
        <v>0.17</v>
      </c>
      <c r="CV55" s="123" t="s">
        <v>276</v>
      </c>
      <c r="CW55" s="123" t="s">
        <v>1324</v>
      </c>
      <c r="CX55" s="123" t="s">
        <v>278</v>
      </c>
      <c r="CY55" s="252">
        <v>420000</v>
      </c>
      <c r="CZ55" s="253">
        <f t="shared" si="4"/>
        <v>222600</v>
      </c>
      <c r="DA55" s="90">
        <v>0.8</v>
      </c>
      <c r="DT55" s="25" t="s">
        <v>1047</v>
      </c>
      <c r="DU55" s="78" t="s">
        <v>1325</v>
      </c>
      <c r="DV55" s="78" t="s">
        <v>290</v>
      </c>
      <c r="DW55" s="101">
        <v>200000</v>
      </c>
      <c r="DX55" s="101">
        <f t="shared" si="12"/>
        <v>110000.00000000001</v>
      </c>
      <c r="EI55" s="55" t="s">
        <v>1326</v>
      </c>
      <c r="EJ55" s="23" t="s">
        <v>1321</v>
      </c>
      <c r="EK55" s="136" t="s">
        <v>1327</v>
      </c>
      <c r="EL55" s="25" t="s">
        <v>81</v>
      </c>
      <c r="EM55" s="227">
        <v>222100</v>
      </c>
      <c r="EN55" s="326">
        <v>64870</v>
      </c>
      <c r="EO55" s="31">
        <v>0.3</v>
      </c>
      <c r="EQ55" s="54" t="s">
        <v>1328</v>
      </c>
      <c r="ER55" s="25" t="s">
        <v>1329</v>
      </c>
      <c r="ES55" s="25" t="s">
        <v>1330</v>
      </c>
      <c r="ET55" s="25" t="s">
        <v>1268</v>
      </c>
      <c r="EU55" s="227">
        <v>26200</v>
      </c>
      <c r="EV55" s="326">
        <v>6990</v>
      </c>
      <c r="EW55" s="31">
        <v>0</v>
      </c>
      <c r="EZ55" s="25" t="s">
        <v>1285</v>
      </c>
      <c r="FA55" s="25" t="s">
        <v>610</v>
      </c>
      <c r="FB55" s="25" t="s">
        <v>947</v>
      </c>
      <c r="FC55" s="222">
        <v>120500</v>
      </c>
      <c r="FD55" s="222">
        <f t="shared" si="3"/>
        <v>78325</v>
      </c>
      <c r="FE55" s="25">
        <v>0.24</v>
      </c>
      <c r="FQ55" s="41"/>
      <c r="FS55" s="42"/>
      <c r="GV55" s="25" t="s">
        <v>312</v>
      </c>
      <c r="GW55" s="25" t="s">
        <v>1323</v>
      </c>
      <c r="GX55" s="25" t="s">
        <v>81</v>
      </c>
      <c r="GY55" s="326">
        <f t="shared" si="10"/>
        <v>84000</v>
      </c>
      <c r="GZ55" s="326">
        <v>27600</v>
      </c>
      <c r="HA55" s="25">
        <v>0.17</v>
      </c>
    </row>
    <row r="56" spans="3:209">
      <c r="K56" s="92"/>
      <c r="M56" s="241"/>
      <c r="O56" s="230"/>
      <c r="P56" s="230"/>
      <c r="Q56" s="31"/>
      <c r="U56" s="34"/>
      <c r="W56" s="35"/>
      <c r="X56" s="71"/>
      <c r="Y56" s="31"/>
      <c r="Z56" s="72"/>
      <c r="BP56" s="23" t="s">
        <v>369</v>
      </c>
      <c r="CV56" s="123" t="s">
        <v>276</v>
      </c>
      <c r="CW56" s="123" t="s">
        <v>1331</v>
      </c>
      <c r="CX56" s="123" t="s">
        <v>278</v>
      </c>
      <c r="CY56" s="252">
        <v>585000</v>
      </c>
      <c r="CZ56" s="253">
        <f t="shared" si="4"/>
        <v>310050</v>
      </c>
      <c r="DA56" s="90">
        <v>1.2</v>
      </c>
      <c r="DT56" s="25" t="s">
        <v>1047</v>
      </c>
      <c r="DU56" s="78" t="s">
        <v>1332</v>
      </c>
      <c r="DV56" s="78" t="s">
        <v>290</v>
      </c>
      <c r="DW56" s="101">
        <v>257000</v>
      </c>
      <c r="DX56" s="101">
        <f t="shared" si="12"/>
        <v>141350</v>
      </c>
      <c r="EI56" s="55" t="s">
        <v>1333</v>
      </c>
      <c r="EJ56" s="25" t="s">
        <v>1334</v>
      </c>
      <c r="EK56" s="25" t="s">
        <v>1335</v>
      </c>
      <c r="EL56" s="25" t="s">
        <v>1336</v>
      </c>
      <c r="EM56" s="326">
        <v>10900</v>
      </c>
      <c r="EN56" s="326">
        <v>4070</v>
      </c>
      <c r="EO56" s="31">
        <v>0.1</v>
      </c>
      <c r="EQ56" s="54" t="s">
        <v>1337</v>
      </c>
      <c r="ER56" s="25" t="s">
        <v>1329</v>
      </c>
      <c r="ES56" s="25" t="s">
        <v>1338</v>
      </c>
      <c r="ET56" s="25" t="s">
        <v>1268</v>
      </c>
      <c r="EU56" s="227">
        <v>39500</v>
      </c>
      <c r="EV56" s="326">
        <v>11160</v>
      </c>
      <c r="EW56" s="31">
        <v>0</v>
      </c>
      <c r="FP56" s="23"/>
      <c r="GV56" s="23" t="s">
        <v>369</v>
      </c>
      <c r="HA56" s="31"/>
    </row>
    <row r="57" spans="3:209">
      <c r="K57" s="92"/>
      <c r="M57" s="25"/>
      <c r="O57" s="217"/>
      <c r="P57" s="217"/>
      <c r="Q57" s="31"/>
      <c r="U57" s="34"/>
      <c r="W57" s="35"/>
      <c r="X57" s="71"/>
      <c r="Y57" s="31"/>
      <c r="Z57" s="72"/>
      <c r="BP57" s="322" t="s">
        <v>268</v>
      </c>
      <c r="BQ57" s="25" t="s">
        <v>1339</v>
      </c>
      <c r="BR57" s="25" t="s">
        <v>81</v>
      </c>
      <c r="BS57" s="326">
        <f t="shared" ref="BS57:BS64" si="13">ROUND(BT57/0.4,-3)</f>
        <v>112000</v>
      </c>
      <c r="BT57" s="326">
        <v>44880</v>
      </c>
      <c r="BU57" s="25">
        <v>1.21</v>
      </c>
      <c r="CV57" s="123" t="s">
        <v>276</v>
      </c>
      <c r="CW57" s="123" t="s">
        <v>1340</v>
      </c>
      <c r="CX57" s="123" t="s">
        <v>278</v>
      </c>
      <c r="CY57" s="252">
        <v>654000</v>
      </c>
      <c r="CZ57" s="253">
        <f t="shared" si="4"/>
        <v>346620</v>
      </c>
      <c r="DA57" s="90">
        <v>1.5</v>
      </c>
      <c r="DT57" s="25" t="s">
        <v>1047</v>
      </c>
      <c r="DU57" s="78" t="s">
        <v>1341</v>
      </c>
      <c r="DV57" s="78" t="s">
        <v>290</v>
      </c>
      <c r="DW57" s="101">
        <v>346000</v>
      </c>
      <c r="DX57" s="101">
        <f t="shared" si="12"/>
        <v>190300.00000000003</v>
      </c>
      <c r="EI57" s="221" t="s">
        <v>1342</v>
      </c>
      <c r="EJ57" s="210" t="s">
        <v>1343</v>
      </c>
      <c r="EK57" s="210" t="s">
        <v>1344</v>
      </c>
      <c r="EL57" s="210" t="s">
        <v>53</v>
      </c>
      <c r="EM57" s="227">
        <v>12400</v>
      </c>
      <c r="EN57" s="326">
        <v>7100</v>
      </c>
      <c r="FQ57" s="41"/>
      <c r="GV57" s="25" t="s">
        <v>242</v>
      </c>
      <c r="GW57" s="25" t="s">
        <v>1339</v>
      </c>
      <c r="GX57" s="25" t="s">
        <v>81</v>
      </c>
      <c r="GY57" s="326">
        <f t="shared" ref="GY57:GY64" si="14">ROUND(GZ57/0.33,-3)</f>
        <v>151000</v>
      </c>
      <c r="GZ57" s="326">
        <v>49700</v>
      </c>
      <c r="HA57" s="25">
        <v>1.21</v>
      </c>
    </row>
    <row r="58" spans="3:209">
      <c r="K58" s="92"/>
      <c r="M58" s="25"/>
      <c r="O58" s="217"/>
      <c r="P58" s="217"/>
      <c r="Q58" s="31"/>
      <c r="U58" s="34"/>
      <c r="W58" s="35"/>
      <c r="X58" s="71"/>
      <c r="Y58" s="31"/>
      <c r="Z58" s="72"/>
      <c r="BP58" s="322" t="s">
        <v>268</v>
      </c>
      <c r="BQ58" s="25" t="s">
        <v>1345</v>
      </c>
      <c r="BR58" s="25" t="s">
        <v>81</v>
      </c>
      <c r="BS58" s="326">
        <f t="shared" si="13"/>
        <v>99000</v>
      </c>
      <c r="BT58" s="326">
        <v>39700</v>
      </c>
      <c r="BU58" s="25">
        <v>0.88</v>
      </c>
      <c r="CV58" s="78" t="s">
        <v>334</v>
      </c>
      <c r="CW58" s="78"/>
      <c r="CX58" s="78"/>
      <c r="CY58" s="96"/>
      <c r="CZ58" s="84"/>
      <c r="DA58" s="89"/>
      <c r="DT58" s="25" t="s">
        <v>1047</v>
      </c>
      <c r="DU58" s="78" t="s">
        <v>1346</v>
      </c>
      <c r="DV58" s="78" t="s">
        <v>290</v>
      </c>
      <c r="DW58" s="101">
        <v>467000</v>
      </c>
      <c r="DX58" s="101">
        <f t="shared" si="12"/>
        <v>256850.00000000003</v>
      </c>
      <c r="EI58" s="221" t="s">
        <v>1347</v>
      </c>
      <c r="EJ58" s="210" t="s">
        <v>1343</v>
      </c>
      <c r="EK58" s="210" t="s">
        <v>1348</v>
      </c>
      <c r="EL58" s="210" t="s">
        <v>53</v>
      </c>
      <c r="EM58" s="227">
        <v>12400</v>
      </c>
      <c r="EN58" s="326">
        <v>5220</v>
      </c>
      <c r="FQ58" s="41"/>
      <c r="GV58" s="25" t="s">
        <v>312</v>
      </c>
      <c r="GW58" s="25" t="s">
        <v>1345</v>
      </c>
      <c r="GX58" s="25" t="s">
        <v>81</v>
      </c>
      <c r="GY58" s="326">
        <f t="shared" si="14"/>
        <v>131000</v>
      </c>
      <c r="GZ58" s="326">
        <v>43200</v>
      </c>
      <c r="HA58" s="25">
        <v>0.88</v>
      </c>
    </row>
    <row r="59" spans="3:209">
      <c r="K59" s="92"/>
      <c r="M59" s="25"/>
      <c r="O59" s="217"/>
      <c r="P59" s="217"/>
      <c r="Q59" s="31"/>
      <c r="U59" s="34"/>
      <c r="W59" s="35"/>
      <c r="X59" s="71"/>
      <c r="Y59" s="31"/>
      <c r="Z59" s="72"/>
      <c r="BP59" s="322" t="s">
        <v>268</v>
      </c>
      <c r="BQ59" s="25" t="s">
        <v>1349</v>
      </c>
      <c r="BR59" s="25" t="s">
        <v>81</v>
      </c>
      <c r="BS59" s="326">
        <f t="shared" si="13"/>
        <v>94000</v>
      </c>
      <c r="BT59" s="326">
        <v>37700</v>
      </c>
      <c r="BU59" s="25">
        <v>0.77</v>
      </c>
      <c r="CV59" s="123" t="s">
        <v>276</v>
      </c>
      <c r="CW59" s="123" t="s">
        <v>1350</v>
      </c>
      <c r="CX59" s="123" t="s">
        <v>278</v>
      </c>
      <c r="CY59" s="252">
        <v>339000</v>
      </c>
      <c r="CZ59" s="253">
        <f t="shared" si="4"/>
        <v>179670</v>
      </c>
      <c r="DA59" s="90">
        <v>1</v>
      </c>
      <c r="DT59" s="170" t="s">
        <v>369</v>
      </c>
      <c r="DU59" s="78"/>
      <c r="DV59" s="78"/>
      <c r="DW59" s="97"/>
      <c r="DX59" s="97"/>
      <c r="FQ59" s="41"/>
      <c r="GV59" s="25" t="s">
        <v>312</v>
      </c>
      <c r="GW59" s="25" t="s">
        <v>1349</v>
      </c>
      <c r="GX59" s="25" t="s">
        <v>81</v>
      </c>
      <c r="GY59" s="326">
        <f t="shared" si="14"/>
        <v>125000</v>
      </c>
      <c r="GZ59" s="326">
        <v>41100</v>
      </c>
      <c r="HA59" s="25">
        <v>0.77</v>
      </c>
    </row>
    <row r="60" spans="3:209">
      <c r="K60" s="92"/>
      <c r="M60" s="25"/>
      <c r="O60" s="217"/>
      <c r="P60" s="217"/>
      <c r="Q60" s="31"/>
      <c r="W60" s="35"/>
      <c r="X60" s="71"/>
      <c r="Y60" s="31"/>
      <c r="Z60" s="72"/>
      <c r="BP60" s="322" t="s">
        <v>268</v>
      </c>
      <c r="BQ60" s="25" t="s">
        <v>1351</v>
      </c>
      <c r="BR60" s="25" t="s">
        <v>81</v>
      </c>
      <c r="BS60" s="326">
        <f t="shared" si="13"/>
        <v>91000</v>
      </c>
      <c r="BT60" s="326">
        <v>36200</v>
      </c>
      <c r="BU60" s="25">
        <v>0.7</v>
      </c>
      <c r="CV60" s="123" t="s">
        <v>276</v>
      </c>
      <c r="CW60" s="123" t="s">
        <v>1352</v>
      </c>
      <c r="CX60" s="123" t="s">
        <v>278</v>
      </c>
      <c r="CY60" s="252">
        <v>427000</v>
      </c>
      <c r="CZ60" s="253">
        <f t="shared" si="4"/>
        <v>226310</v>
      </c>
      <c r="DA60" s="90">
        <v>1</v>
      </c>
      <c r="DT60" s="25" t="s">
        <v>1047</v>
      </c>
      <c r="DU60" s="78" t="s">
        <v>1353</v>
      </c>
      <c r="DV60" s="78" t="s">
        <v>290</v>
      </c>
      <c r="DW60" s="101">
        <v>270000</v>
      </c>
      <c r="DX60" s="101">
        <f t="shared" si="12"/>
        <v>148500</v>
      </c>
      <c r="FQ60" s="41"/>
      <c r="GV60" s="25" t="s">
        <v>312</v>
      </c>
      <c r="GW60" s="25" t="s">
        <v>1351</v>
      </c>
      <c r="GX60" s="25" t="s">
        <v>81</v>
      </c>
      <c r="GY60" s="326">
        <f t="shared" si="14"/>
        <v>118000</v>
      </c>
      <c r="GZ60" s="326">
        <v>39000</v>
      </c>
      <c r="HA60" s="25">
        <v>0.7</v>
      </c>
    </row>
    <row r="61" spans="3:209">
      <c r="K61" s="92"/>
      <c r="O61" s="218"/>
      <c r="P61" s="219"/>
      <c r="Q61" s="31"/>
      <c r="Z61" s="72"/>
      <c r="BP61" s="322" t="s">
        <v>268</v>
      </c>
      <c r="BQ61" s="25" t="s">
        <v>1354</v>
      </c>
      <c r="BR61" s="25" t="s">
        <v>81</v>
      </c>
      <c r="BS61" s="326">
        <f t="shared" si="13"/>
        <v>88000</v>
      </c>
      <c r="BT61" s="326">
        <v>35200</v>
      </c>
      <c r="BU61" s="25">
        <v>0.61</v>
      </c>
      <c r="CV61" s="123" t="s">
        <v>276</v>
      </c>
      <c r="CW61" s="123" t="s">
        <v>1355</v>
      </c>
      <c r="CX61" s="123" t="s">
        <v>278</v>
      </c>
      <c r="CY61" s="252">
        <v>556000</v>
      </c>
      <c r="CZ61" s="253">
        <f t="shared" si="4"/>
        <v>294680</v>
      </c>
      <c r="DA61" s="90">
        <v>1.2</v>
      </c>
      <c r="DT61" s="25" t="s">
        <v>1047</v>
      </c>
      <c r="DU61" s="78" t="s">
        <v>1356</v>
      </c>
      <c r="DV61" s="78" t="s">
        <v>290</v>
      </c>
      <c r="DW61" s="101">
        <v>289000</v>
      </c>
      <c r="DX61" s="101">
        <f t="shared" si="12"/>
        <v>158950</v>
      </c>
      <c r="FQ61" s="41"/>
      <c r="GV61" s="25" t="s">
        <v>312</v>
      </c>
      <c r="GW61" s="25" t="s">
        <v>1354</v>
      </c>
      <c r="GX61" s="25" t="s">
        <v>81</v>
      </c>
      <c r="GY61" s="326">
        <f t="shared" si="14"/>
        <v>115000</v>
      </c>
      <c r="GZ61" s="326">
        <v>37800</v>
      </c>
      <c r="HA61" s="25">
        <v>0.61</v>
      </c>
    </row>
    <row r="62" spans="3:209">
      <c r="K62" s="92"/>
      <c r="O62" s="218"/>
      <c r="P62" s="219"/>
      <c r="Q62" s="31"/>
      <c r="R62" s="72"/>
      <c r="Z62" s="72"/>
      <c r="BP62" s="322" t="s">
        <v>268</v>
      </c>
      <c r="BQ62" s="25" t="s">
        <v>1357</v>
      </c>
      <c r="BR62" s="25" t="s">
        <v>81</v>
      </c>
      <c r="BS62" s="326">
        <f t="shared" si="13"/>
        <v>82000</v>
      </c>
      <c r="BT62" s="326">
        <v>32600</v>
      </c>
      <c r="BU62" s="25">
        <v>0.44</v>
      </c>
      <c r="CV62" s="123" t="s">
        <v>276</v>
      </c>
      <c r="CW62" s="123" t="s">
        <v>1358</v>
      </c>
      <c r="CX62" s="123" t="s">
        <v>278</v>
      </c>
      <c r="CY62" s="252">
        <v>674000</v>
      </c>
      <c r="CZ62" s="253">
        <f t="shared" si="4"/>
        <v>357220</v>
      </c>
      <c r="DA62" s="90">
        <v>1.5</v>
      </c>
      <c r="DT62" s="25" t="s">
        <v>1047</v>
      </c>
      <c r="DU62" s="78" t="s">
        <v>1359</v>
      </c>
      <c r="DV62" s="78" t="s">
        <v>290</v>
      </c>
      <c r="DW62" s="101">
        <v>339000</v>
      </c>
      <c r="DX62" s="101">
        <f t="shared" si="12"/>
        <v>186450.00000000003</v>
      </c>
      <c r="FQ62" s="41"/>
      <c r="GV62" s="25" t="s">
        <v>312</v>
      </c>
      <c r="GW62" s="25" t="s">
        <v>1357</v>
      </c>
      <c r="GX62" s="25" t="s">
        <v>81</v>
      </c>
      <c r="GY62" s="326">
        <f t="shared" si="14"/>
        <v>104000</v>
      </c>
      <c r="GZ62" s="326">
        <v>34400</v>
      </c>
      <c r="HA62" s="25">
        <v>0.44</v>
      </c>
    </row>
    <row r="63" spans="3:209">
      <c r="R63" s="72"/>
      <c r="BP63" s="322" t="s">
        <v>268</v>
      </c>
      <c r="BQ63" s="25" t="s">
        <v>1360</v>
      </c>
      <c r="BR63" s="25" t="s">
        <v>81</v>
      </c>
      <c r="BS63" s="326">
        <f t="shared" si="13"/>
        <v>78000</v>
      </c>
      <c r="BT63" s="326">
        <v>31000</v>
      </c>
      <c r="BU63" s="25">
        <v>0.33</v>
      </c>
      <c r="CV63" s="123" t="s">
        <v>276</v>
      </c>
      <c r="CW63" s="123" t="s">
        <v>1361</v>
      </c>
      <c r="CX63" s="123" t="s">
        <v>278</v>
      </c>
      <c r="CY63" s="252">
        <v>736000</v>
      </c>
      <c r="CZ63" s="253">
        <f t="shared" si="4"/>
        <v>390080</v>
      </c>
      <c r="DA63" s="90">
        <v>2</v>
      </c>
      <c r="DT63" s="25" t="s">
        <v>1047</v>
      </c>
      <c r="DU63" s="78" t="s">
        <v>1362</v>
      </c>
      <c r="DV63" s="78" t="s">
        <v>290</v>
      </c>
      <c r="DW63" s="101">
        <v>410000</v>
      </c>
      <c r="DX63" s="101">
        <f t="shared" si="12"/>
        <v>225500.00000000003</v>
      </c>
      <c r="FQ63" s="41"/>
      <c r="GV63" s="25" t="s">
        <v>312</v>
      </c>
      <c r="GW63" s="25" t="s">
        <v>1360</v>
      </c>
      <c r="GX63" s="25" t="s">
        <v>81</v>
      </c>
      <c r="GY63" s="326">
        <f t="shared" si="14"/>
        <v>98000</v>
      </c>
      <c r="GZ63" s="326">
        <v>32400</v>
      </c>
      <c r="HA63" s="25">
        <v>0.33</v>
      </c>
    </row>
    <row r="64" spans="3:209">
      <c r="R64" s="72"/>
      <c r="BP64" s="322" t="s">
        <v>268</v>
      </c>
      <c r="BQ64" s="25" t="s">
        <v>1363</v>
      </c>
      <c r="BR64" s="25" t="s">
        <v>81</v>
      </c>
      <c r="BS64" s="326">
        <f t="shared" si="13"/>
        <v>73000</v>
      </c>
      <c r="BT64" s="345">
        <v>29200</v>
      </c>
      <c r="BU64" s="25">
        <v>0.22</v>
      </c>
      <c r="CV64" s="23" t="s">
        <v>369</v>
      </c>
      <c r="DT64" s="25" t="s">
        <v>1047</v>
      </c>
      <c r="DU64" s="78" t="s">
        <v>1364</v>
      </c>
      <c r="DV64" s="78" t="s">
        <v>290</v>
      </c>
      <c r="DW64" s="101">
        <v>451000</v>
      </c>
      <c r="DX64" s="101">
        <f t="shared" si="12"/>
        <v>248050.00000000003</v>
      </c>
      <c r="FQ64" s="41"/>
      <c r="GV64" s="25" t="s">
        <v>312</v>
      </c>
      <c r="GW64" s="25" t="s">
        <v>1363</v>
      </c>
      <c r="GX64" s="25" t="s">
        <v>81</v>
      </c>
      <c r="GY64" s="326">
        <f t="shared" si="14"/>
        <v>91000</v>
      </c>
      <c r="GZ64" s="326">
        <v>30100</v>
      </c>
      <c r="HA64" s="25">
        <v>0.22</v>
      </c>
    </row>
    <row r="65" spans="18:209">
      <c r="R65" s="72"/>
      <c r="BP65" s="23" t="s">
        <v>369</v>
      </c>
      <c r="BU65" s="31"/>
      <c r="CV65" s="67" t="s">
        <v>853</v>
      </c>
      <c r="CW65" s="83" t="s">
        <v>1365</v>
      </c>
      <c r="CX65" s="67" t="s">
        <v>73</v>
      </c>
      <c r="CY65" s="85">
        <v>628000</v>
      </c>
      <c r="CZ65" s="86">
        <v>314000</v>
      </c>
      <c r="DA65" s="82"/>
      <c r="DT65" s="25" t="s">
        <v>1047</v>
      </c>
      <c r="DU65" s="78" t="s">
        <v>1366</v>
      </c>
      <c r="DV65" s="78" t="s">
        <v>290</v>
      </c>
      <c r="DW65" s="101">
        <v>528000</v>
      </c>
      <c r="DX65" s="101">
        <f t="shared" si="12"/>
        <v>290400</v>
      </c>
      <c r="FQ65" s="41"/>
      <c r="GV65" s="23" t="s">
        <v>369</v>
      </c>
      <c r="HA65" s="31"/>
    </row>
    <row r="66" spans="18:209">
      <c r="R66" s="72"/>
      <c r="BP66" s="322" t="s">
        <v>268</v>
      </c>
      <c r="BQ66" s="25" t="s">
        <v>1367</v>
      </c>
      <c r="BR66" s="25" t="s">
        <v>81</v>
      </c>
      <c r="BS66" s="326">
        <f t="shared" ref="BS66:BS73" si="15">ROUND(BT66/0.4,-3)</f>
        <v>120000</v>
      </c>
      <c r="BT66" s="326">
        <v>47900</v>
      </c>
      <c r="BU66" s="25">
        <v>1.21</v>
      </c>
      <c r="CV66" s="67" t="s">
        <v>853</v>
      </c>
      <c r="CW66" s="83" t="s">
        <v>1368</v>
      </c>
      <c r="CX66" s="67" t="s">
        <v>73</v>
      </c>
      <c r="CY66" s="85">
        <v>726000</v>
      </c>
      <c r="CZ66" s="86">
        <v>363000</v>
      </c>
      <c r="DA66" s="82"/>
      <c r="DT66" s="25" t="s">
        <v>1047</v>
      </c>
      <c r="DU66" s="78" t="s">
        <v>1369</v>
      </c>
      <c r="DV66" s="78" t="s">
        <v>290</v>
      </c>
      <c r="DW66" s="101">
        <v>615000</v>
      </c>
      <c r="DX66" s="101">
        <f t="shared" si="12"/>
        <v>338250</v>
      </c>
      <c r="FQ66" s="41"/>
      <c r="GV66" s="25" t="s">
        <v>242</v>
      </c>
      <c r="GW66" s="25" t="s">
        <v>1367</v>
      </c>
      <c r="GX66" s="25" t="s">
        <v>81</v>
      </c>
      <c r="GY66" s="326">
        <f t="shared" ref="GY66:GY73" si="16">ROUND(GZ66/0.33,-3)</f>
        <v>160000</v>
      </c>
      <c r="GZ66" s="326">
        <v>52800</v>
      </c>
      <c r="HA66" s="25">
        <v>1.21</v>
      </c>
    </row>
    <row r="67" spans="18:209">
      <c r="R67" s="72"/>
      <c r="BP67" s="322" t="s">
        <v>268</v>
      </c>
      <c r="BQ67" s="25" t="s">
        <v>1370</v>
      </c>
      <c r="BR67" s="25" t="s">
        <v>81</v>
      </c>
      <c r="BS67" s="326">
        <f t="shared" si="15"/>
        <v>106000</v>
      </c>
      <c r="BT67" s="326">
        <v>42200</v>
      </c>
      <c r="BU67" s="25">
        <v>0.88</v>
      </c>
      <c r="CV67" s="67" t="s">
        <v>853</v>
      </c>
      <c r="CW67" s="83" t="s">
        <v>1371</v>
      </c>
      <c r="CX67" s="67" t="s">
        <v>73</v>
      </c>
      <c r="CY67" s="85">
        <v>814000</v>
      </c>
      <c r="CZ67" s="86">
        <v>407000</v>
      </c>
      <c r="DA67" s="82"/>
      <c r="DT67" s="25" t="s">
        <v>1047</v>
      </c>
      <c r="DU67" s="78" t="s">
        <v>1372</v>
      </c>
      <c r="DV67" s="78" t="s">
        <v>290</v>
      </c>
      <c r="DW67" s="101">
        <v>710000</v>
      </c>
      <c r="DX67" s="101">
        <f t="shared" si="12"/>
        <v>390500.00000000006</v>
      </c>
      <c r="FQ67" s="41"/>
      <c r="GV67" s="25" t="s">
        <v>312</v>
      </c>
      <c r="GW67" s="25" t="s">
        <v>1370</v>
      </c>
      <c r="GX67" s="25" t="s">
        <v>81</v>
      </c>
      <c r="GY67" s="326">
        <f t="shared" si="16"/>
        <v>140000</v>
      </c>
      <c r="GZ67" s="326">
        <v>46100</v>
      </c>
      <c r="HA67" s="25">
        <v>0.88</v>
      </c>
    </row>
    <row r="68" spans="18:209">
      <c r="BP68" s="322" t="s">
        <v>268</v>
      </c>
      <c r="BQ68" s="25" t="s">
        <v>1373</v>
      </c>
      <c r="BR68" s="25" t="s">
        <v>81</v>
      </c>
      <c r="BS68" s="326">
        <f t="shared" si="15"/>
        <v>100000</v>
      </c>
      <c r="BT68" s="326">
        <v>39800</v>
      </c>
      <c r="BU68" s="25">
        <v>0.77</v>
      </c>
      <c r="CV68" s="67" t="s">
        <v>853</v>
      </c>
      <c r="CW68" s="83" t="s">
        <v>1374</v>
      </c>
      <c r="CX68" s="67" t="s">
        <v>73</v>
      </c>
      <c r="CY68" s="85">
        <v>936000</v>
      </c>
      <c r="CZ68" s="86">
        <v>468000</v>
      </c>
      <c r="DA68" s="82"/>
      <c r="DT68" s="25" t="s">
        <v>1047</v>
      </c>
      <c r="DU68" s="78" t="s">
        <v>1375</v>
      </c>
      <c r="DV68" s="78" t="s">
        <v>290</v>
      </c>
      <c r="DW68" s="101">
        <v>832000</v>
      </c>
      <c r="DX68" s="101">
        <f t="shared" si="12"/>
        <v>457600.00000000006</v>
      </c>
      <c r="FQ68" s="41"/>
      <c r="GV68" s="25" t="s">
        <v>312</v>
      </c>
      <c r="GW68" s="25" t="s">
        <v>1373</v>
      </c>
      <c r="GX68" s="25" t="s">
        <v>81</v>
      </c>
      <c r="GY68" s="326">
        <f t="shared" si="16"/>
        <v>131000</v>
      </c>
      <c r="GZ68" s="326">
        <v>43200</v>
      </c>
      <c r="HA68" s="25">
        <v>0.77</v>
      </c>
    </row>
    <row r="69" spans="18:209">
      <c r="BP69" s="322" t="s">
        <v>268</v>
      </c>
      <c r="BQ69" s="25" t="s">
        <v>1376</v>
      </c>
      <c r="BR69" s="25" t="s">
        <v>81</v>
      </c>
      <c r="BS69" s="326">
        <f t="shared" si="15"/>
        <v>95000</v>
      </c>
      <c r="BT69" s="326">
        <v>38000</v>
      </c>
      <c r="BU69" s="25">
        <v>0.7</v>
      </c>
      <c r="CV69" s="67" t="s">
        <v>853</v>
      </c>
      <c r="CW69" s="83" t="s">
        <v>1377</v>
      </c>
      <c r="CX69" s="67" t="s">
        <v>73</v>
      </c>
      <c r="CY69" s="87">
        <v>1044000</v>
      </c>
      <c r="CZ69" s="86">
        <v>522000</v>
      </c>
      <c r="DA69" s="82"/>
      <c r="DT69" s="25" t="s">
        <v>1047</v>
      </c>
      <c r="DU69" s="78" t="s">
        <v>1378</v>
      </c>
      <c r="DV69" s="78" t="s">
        <v>290</v>
      </c>
      <c r="DW69" s="101">
        <v>878000</v>
      </c>
      <c r="DX69" s="101">
        <f t="shared" si="12"/>
        <v>482900.00000000006</v>
      </c>
      <c r="FQ69" s="41"/>
      <c r="GV69" s="25" t="s">
        <v>312</v>
      </c>
      <c r="GW69" s="25" t="s">
        <v>1376</v>
      </c>
      <c r="GX69" s="25" t="s">
        <v>81</v>
      </c>
      <c r="GY69" s="326">
        <f t="shared" si="16"/>
        <v>124000</v>
      </c>
      <c r="GZ69" s="326">
        <v>40800</v>
      </c>
      <c r="HA69" s="25">
        <v>0.7</v>
      </c>
    </row>
    <row r="70" spans="18:209">
      <c r="BP70" s="322" t="s">
        <v>268</v>
      </c>
      <c r="BQ70" s="25" t="s">
        <v>1379</v>
      </c>
      <c r="BR70" s="25" t="s">
        <v>81</v>
      </c>
      <c r="BS70" s="326">
        <f t="shared" si="15"/>
        <v>93000</v>
      </c>
      <c r="BT70" s="326">
        <v>37000</v>
      </c>
      <c r="BU70" s="25">
        <v>0.61</v>
      </c>
      <c r="CV70" s="67" t="s">
        <v>853</v>
      </c>
      <c r="CW70" s="83" t="s">
        <v>1380</v>
      </c>
      <c r="CX70" s="67" t="s">
        <v>73</v>
      </c>
      <c r="CY70" s="87">
        <v>1122000</v>
      </c>
      <c r="CZ70" s="86">
        <v>561000</v>
      </c>
      <c r="DA70" s="82"/>
      <c r="DT70" s="170" t="s">
        <v>369</v>
      </c>
      <c r="DU70" s="78"/>
      <c r="DV70" s="78"/>
      <c r="DW70" s="97"/>
      <c r="DX70" s="97"/>
      <c r="FQ70" s="41"/>
      <c r="GV70" s="25" t="s">
        <v>312</v>
      </c>
      <c r="GW70" s="25" t="s">
        <v>1379</v>
      </c>
      <c r="GX70" s="25" t="s">
        <v>81</v>
      </c>
      <c r="GY70" s="326">
        <f t="shared" si="16"/>
        <v>119000</v>
      </c>
      <c r="GZ70" s="326">
        <v>39300</v>
      </c>
      <c r="HA70" s="25">
        <v>0.61</v>
      </c>
    </row>
    <row r="71" spans="18:209">
      <c r="BP71" s="322" t="s">
        <v>268</v>
      </c>
      <c r="BQ71" s="25" t="s">
        <v>1381</v>
      </c>
      <c r="BR71" s="25" t="s">
        <v>81</v>
      </c>
      <c r="BS71" s="326">
        <f t="shared" si="15"/>
        <v>85000</v>
      </c>
      <c r="BT71" s="326">
        <v>34000</v>
      </c>
      <c r="BU71" s="25">
        <v>0.44</v>
      </c>
      <c r="CV71" s="67" t="s">
        <v>853</v>
      </c>
      <c r="CW71" s="83" t="s">
        <v>1382</v>
      </c>
      <c r="CX71" s="67" t="s">
        <v>73</v>
      </c>
      <c r="CY71" s="87">
        <v>1266000</v>
      </c>
      <c r="CZ71" s="86">
        <v>633000</v>
      </c>
      <c r="DA71" s="82"/>
      <c r="DT71" s="25" t="s">
        <v>1047</v>
      </c>
      <c r="DU71" s="78" t="s">
        <v>1383</v>
      </c>
      <c r="DV71" s="78" t="s">
        <v>290</v>
      </c>
      <c r="DW71" s="101">
        <v>1032000</v>
      </c>
      <c r="DX71" s="101">
        <f t="shared" si="12"/>
        <v>567600</v>
      </c>
      <c r="FQ71" s="41"/>
      <c r="GV71" s="25" t="s">
        <v>312</v>
      </c>
      <c r="GW71" s="25" t="s">
        <v>1381</v>
      </c>
      <c r="GX71" s="25" t="s">
        <v>81</v>
      </c>
      <c r="GY71" s="326">
        <f t="shared" si="16"/>
        <v>108000</v>
      </c>
      <c r="GZ71" s="326">
        <v>35800</v>
      </c>
      <c r="HA71" s="25">
        <v>0.44</v>
      </c>
    </row>
    <row r="72" spans="18:209">
      <c r="BP72" s="322" t="s">
        <v>268</v>
      </c>
      <c r="BQ72" s="25" t="s">
        <v>1384</v>
      </c>
      <c r="BR72" s="25" t="s">
        <v>81</v>
      </c>
      <c r="BS72" s="326">
        <f t="shared" si="15"/>
        <v>80000</v>
      </c>
      <c r="BT72" s="326">
        <v>32000</v>
      </c>
      <c r="BU72" s="25">
        <v>0.33</v>
      </c>
      <c r="CV72" s="23" t="s">
        <v>369</v>
      </c>
      <c r="CW72" s="78"/>
      <c r="CY72" s="65"/>
      <c r="CZ72" s="81"/>
      <c r="DA72" s="82"/>
      <c r="DT72" s="25" t="s">
        <v>1047</v>
      </c>
      <c r="DU72" s="78" t="s">
        <v>1385</v>
      </c>
      <c r="DV72" s="78" t="s">
        <v>290</v>
      </c>
      <c r="DW72" s="101">
        <v>1139000</v>
      </c>
      <c r="DX72" s="101">
        <f t="shared" si="12"/>
        <v>626450</v>
      </c>
      <c r="GV72" s="25" t="s">
        <v>312</v>
      </c>
      <c r="GW72" s="25" t="s">
        <v>1384</v>
      </c>
      <c r="GX72" s="25" t="s">
        <v>81</v>
      </c>
      <c r="GY72" s="326">
        <f t="shared" si="16"/>
        <v>101000</v>
      </c>
      <c r="GZ72" s="326">
        <v>33300</v>
      </c>
      <c r="HA72" s="25">
        <v>0.33</v>
      </c>
    </row>
    <row r="73" spans="18:209">
      <c r="BP73" s="322" t="s">
        <v>268</v>
      </c>
      <c r="BQ73" s="25" t="s">
        <v>1386</v>
      </c>
      <c r="BR73" s="25" t="s">
        <v>81</v>
      </c>
      <c r="BS73" s="326">
        <f t="shared" si="15"/>
        <v>75000</v>
      </c>
      <c r="BT73" s="345">
        <v>29800</v>
      </c>
      <c r="BU73" s="25">
        <v>0.22</v>
      </c>
      <c r="CV73" s="67" t="s">
        <v>853</v>
      </c>
      <c r="CW73" s="83" t="s">
        <v>1387</v>
      </c>
      <c r="CX73" s="67" t="s">
        <v>73</v>
      </c>
      <c r="CY73" s="87">
        <v>1122000</v>
      </c>
      <c r="CZ73" s="86">
        <v>561000</v>
      </c>
      <c r="DA73" s="82"/>
      <c r="DT73" s="25" t="s">
        <v>1047</v>
      </c>
      <c r="DU73" s="78" t="s">
        <v>1388</v>
      </c>
      <c r="DV73" s="78" t="s">
        <v>290</v>
      </c>
      <c r="DW73" s="101">
        <v>1302000</v>
      </c>
      <c r="DX73" s="101">
        <f t="shared" si="12"/>
        <v>716100</v>
      </c>
      <c r="GV73" s="25" t="s">
        <v>312</v>
      </c>
      <c r="GW73" s="25" t="s">
        <v>1386</v>
      </c>
      <c r="GX73" s="25" t="s">
        <v>81</v>
      </c>
      <c r="GY73" s="326">
        <f t="shared" si="16"/>
        <v>93000</v>
      </c>
      <c r="GZ73" s="326">
        <v>30700</v>
      </c>
      <c r="HA73" s="25">
        <v>0.22</v>
      </c>
    </row>
    <row r="74" spans="18:209">
      <c r="BP74" s="23"/>
      <c r="CV74" s="67" t="s">
        <v>853</v>
      </c>
      <c r="CW74" s="83" t="s">
        <v>1389</v>
      </c>
      <c r="CX74" s="67" t="s">
        <v>73</v>
      </c>
      <c r="CY74" s="87">
        <v>1122000</v>
      </c>
      <c r="CZ74" s="86">
        <v>561000</v>
      </c>
      <c r="DA74" s="82"/>
      <c r="DT74" s="25" t="s">
        <v>1047</v>
      </c>
      <c r="DU74" s="78" t="s">
        <v>1390</v>
      </c>
      <c r="DV74" s="78" t="s">
        <v>290</v>
      </c>
      <c r="DW74" s="101">
        <v>1466000</v>
      </c>
      <c r="DX74" s="101">
        <f t="shared" si="12"/>
        <v>806300.00000000012</v>
      </c>
    </row>
    <row r="75" spans="18:209">
      <c r="CV75" s="67" t="s">
        <v>853</v>
      </c>
      <c r="CW75" s="83" t="s">
        <v>1391</v>
      </c>
      <c r="CX75" s="67" t="s">
        <v>73</v>
      </c>
      <c r="CY75" s="87">
        <v>1332000</v>
      </c>
      <c r="CZ75" s="86">
        <v>666000</v>
      </c>
      <c r="DA75" s="82"/>
      <c r="DT75" s="25" t="s">
        <v>1047</v>
      </c>
      <c r="DU75" s="78" t="s">
        <v>1392</v>
      </c>
      <c r="DV75" s="78" t="s">
        <v>290</v>
      </c>
      <c r="DW75" s="101">
        <v>1680000</v>
      </c>
      <c r="DX75" s="101">
        <f t="shared" si="12"/>
        <v>924000.00000000012</v>
      </c>
    </row>
    <row r="76" spans="18:209">
      <c r="CV76" s="67" t="s">
        <v>853</v>
      </c>
      <c r="CW76" s="83" t="s">
        <v>1393</v>
      </c>
      <c r="CX76" s="67" t="s">
        <v>73</v>
      </c>
      <c r="CY76" s="87">
        <v>1392000</v>
      </c>
      <c r="CZ76" s="86">
        <v>696000</v>
      </c>
      <c r="DA76" s="82"/>
      <c r="DT76" s="25" t="s">
        <v>1047</v>
      </c>
      <c r="DU76" s="78" t="s">
        <v>1394</v>
      </c>
      <c r="DV76" s="78" t="s">
        <v>290</v>
      </c>
      <c r="DW76" s="101">
        <v>2000000</v>
      </c>
      <c r="DX76" s="101">
        <f t="shared" si="12"/>
        <v>1100000</v>
      </c>
    </row>
    <row r="77" spans="18:209">
      <c r="CV77" s="67" t="s">
        <v>853</v>
      </c>
      <c r="CW77" s="83" t="s">
        <v>1395</v>
      </c>
      <c r="CX77" s="67" t="s">
        <v>73</v>
      </c>
      <c r="CY77" s="87">
        <v>1486000</v>
      </c>
      <c r="CZ77" s="86">
        <v>743000</v>
      </c>
      <c r="DA77" s="82"/>
      <c r="DT77" s="25" t="s">
        <v>1047</v>
      </c>
      <c r="DU77" s="78" t="s">
        <v>1396</v>
      </c>
      <c r="DV77" s="78" t="s">
        <v>290</v>
      </c>
      <c r="DW77" s="101">
        <v>2331000</v>
      </c>
      <c r="DX77" s="101">
        <f t="shared" si="12"/>
        <v>1282050</v>
      </c>
    </row>
    <row r="78" spans="18:209">
      <c r="CV78" s="67" t="s">
        <v>853</v>
      </c>
      <c r="CW78" s="83" t="s">
        <v>1397</v>
      </c>
      <c r="CX78" s="67" t="s">
        <v>73</v>
      </c>
      <c r="CY78" s="87">
        <v>1952000</v>
      </c>
      <c r="CZ78" s="86">
        <v>976000</v>
      </c>
      <c r="DA78" s="82"/>
      <c r="DT78" s="25" t="s">
        <v>1047</v>
      </c>
      <c r="DU78" s="78" t="s">
        <v>1398</v>
      </c>
      <c r="DV78" s="78" t="s">
        <v>290</v>
      </c>
      <c r="DW78" s="101">
        <v>2675000</v>
      </c>
      <c r="DX78" s="101">
        <f t="shared" si="12"/>
        <v>1471250.0000000002</v>
      </c>
    </row>
    <row r="79" spans="18:209">
      <c r="CV79" s="67" t="s">
        <v>853</v>
      </c>
      <c r="CW79" s="83" t="s">
        <v>1399</v>
      </c>
      <c r="CX79" s="67" t="s">
        <v>73</v>
      </c>
      <c r="CY79" s="87">
        <v>2178000</v>
      </c>
      <c r="CZ79" s="86">
        <v>1089000</v>
      </c>
      <c r="DA79" s="82"/>
      <c r="DT79" s="25" t="s">
        <v>1047</v>
      </c>
      <c r="DU79" s="78" t="s">
        <v>1400</v>
      </c>
      <c r="DV79" s="78" t="s">
        <v>290</v>
      </c>
      <c r="DW79" s="101">
        <v>3185000</v>
      </c>
      <c r="DX79" s="101">
        <f t="shared" si="12"/>
        <v>1751750.0000000002</v>
      </c>
    </row>
    <row r="80" spans="18:209">
      <c r="CV80" s="67" t="s">
        <v>853</v>
      </c>
      <c r="CW80" s="83" t="s">
        <v>1401</v>
      </c>
      <c r="CX80" s="67" t="s">
        <v>73</v>
      </c>
      <c r="CY80" s="87">
        <v>2454000</v>
      </c>
      <c r="CZ80" s="86">
        <v>1227000</v>
      </c>
      <c r="DA80" s="82"/>
      <c r="DT80" s="25" t="s">
        <v>1047</v>
      </c>
      <c r="DU80" s="78" t="s">
        <v>1402</v>
      </c>
      <c r="DV80" s="78" t="s">
        <v>290</v>
      </c>
      <c r="DW80" s="101">
        <v>3580000</v>
      </c>
      <c r="DX80" s="101">
        <f t="shared" si="12"/>
        <v>1969000.0000000002</v>
      </c>
    </row>
    <row r="81" spans="68:128">
      <c r="CV81" s="67" t="s">
        <v>853</v>
      </c>
      <c r="CW81" s="83" t="s">
        <v>1403</v>
      </c>
      <c r="CX81" s="67" t="s">
        <v>73</v>
      </c>
      <c r="CY81" s="87">
        <v>3482000</v>
      </c>
      <c r="CZ81" s="86">
        <v>1741000</v>
      </c>
      <c r="DA81" s="82"/>
      <c r="DT81" s="25" t="s">
        <v>1047</v>
      </c>
      <c r="DU81" s="78" t="s">
        <v>1404</v>
      </c>
      <c r="DV81" s="78" t="s">
        <v>290</v>
      </c>
      <c r="DW81" s="101">
        <v>4303000</v>
      </c>
      <c r="DX81" s="101">
        <f t="shared" si="12"/>
        <v>2366650</v>
      </c>
    </row>
    <row r="82" spans="68:128">
      <c r="CV82" s="23" t="s">
        <v>369</v>
      </c>
      <c r="CW82" s="78"/>
      <c r="CZ82" s="81"/>
      <c r="DA82" s="82"/>
      <c r="DT82" s="25" t="s">
        <v>1047</v>
      </c>
      <c r="DU82" s="78" t="s">
        <v>1405</v>
      </c>
      <c r="DV82" s="78" t="s">
        <v>290</v>
      </c>
      <c r="DW82" s="101">
        <v>6639000</v>
      </c>
      <c r="DX82" s="101">
        <f t="shared" si="12"/>
        <v>3651450.0000000005</v>
      </c>
    </row>
    <row r="83" spans="68:128">
      <c r="BP83" s="23"/>
      <c r="CV83" s="67" t="s">
        <v>853</v>
      </c>
      <c r="CW83" s="83" t="s">
        <v>1406</v>
      </c>
      <c r="CX83" s="67" t="s">
        <v>73</v>
      </c>
      <c r="CY83" s="85">
        <v>1442000</v>
      </c>
      <c r="CZ83" s="86">
        <v>721000</v>
      </c>
      <c r="DA83" s="82"/>
      <c r="DT83" s="25" t="s">
        <v>1047</v>
      </c>
      <c r="DU83" s="78" t="s">
        <v>1407</v>
      </c>
      <c r="DV83" s="78" t="s">
        <v>290</v>
      </c>
      <c r="DW83" s="101">
        <v>7755000</v>
      </c>
      <c r="DX83" s="101">
        <f t="shared" si="12"/>
        <v>4265250</v>
      </c>
    </row>
    <row r="84" spans="68:128">
      <c r="CV84" s="67" t="s">
        <v>853</v>
      </c>
      <c r="CW84" s="83" t="s">
        <v>1408</v>
      </c>
      <c r="CX84" s="67" t="s">
        <v>73</v>
      </c>
      <c r="CY84" s="85">
        <v>1650000</v>
      </c>
      <c r="CZ84" s="86">
        <v>825000</v>
      </c>
      <c r="DA84" s="82"/>
      <c r="DT84" s="25" t="s">
        <v>1047</v>
      </c>
      <c r="DU84" s="78" t="s">
        <v>1409</v>
      </c>
      <c r="DV84" s="78" t="s">
        <v>290</v>
      </c>
      <c r="DW84" s="101">
        <v>8349000</v>
      </c>
      <c r="DX84" s="101">
        <f t="shared" si="12"/>
        <v>4591950</v>
      </c>
    </row>
    <row r="85" spans="68:128">
      <c r="CV85" s="67" t="s">
        <v>853</v>
      </c>
      <c r="CW85" s="83" t="s">
        <v>1410</v>
      </c>
      <c r="CX85" s="67" t="s">
        <v>73</v>
      </c>
      <c r="CY85" s="85">
        <v>2498000</v>
      </c>
      <c r="CZ85" s="86">
        <v>1249000</v>
      </c>
      <c r="DA85" s="82"/>
    </row>
    <row r="86" spans="68:128">
      <c r="CV86" s="67" t="s">
        <v>853</v>
      </c>
      <c r="CW86" s="83" t="s">
        <v>1411</v>
      </c>
      <c r="CX86" s="67" t="s">
        <v>73</v>
      </c>
      <c r="CY86" s="85">
        <v>2772000</v>
      </c>
      <c r="CZ86" s="86">
        <v>1386000</v>
      </c>
      <c r="DA86" s="82"/>
    </row>
    <row r="87" spans="68:128">
      <c r="CV87" s="67" t="s">
        <v>853</v>
      </c>
      <c r="CW87" s="83" t="s">
        <v>1412</v>
      </c>
      <c r="CX87" s="67" t="s">
        <v>73</v>
      </c>
      <c r="CY87" s="85">
        <v>3256000</v>
      </c>
      <c r="CZ87" s="86">
        <v>1628000</v>
      </c>
      <c r="DA87" s="82"/>
    </row>
    <row r="88" spans="68:128">
      <c r="CV88" s="67" t="s">
        <v>853</v>
      </c>
      <c r="CW88" s="83" t="s">
        <v>1413</v>
      </c>
      <c r="CX88" s="67" t="s">
        <v>73</v>
      </c>
      <c r="CY88" s="85">
        <v>3740000</v>
      </c>
      <c r="CZ88" s="86">
        <v>1870000</v>
      </c>
      <c r="DA88" s="82"/>
    </row>
    <row r="89" spans="68:128">
      <c r="CV89" s="67" t="s">
        <v>853</v>
      </c>
      <c r="CW89" s="83" t="s">
        <v>1414</v>
      </c>
      <c r="CX89" s="67" t="s">
        <v>73</v>
      </c>
      <c r="CY89" s="85">
        <v>4282000</v>
      </c>
      <c r="CZ89" s="86">
        <v>2141000</v>
      </c>
      <c r="DA89" s="82"/>
    </row>
    <row r="90" spans="68:128">
      <c r="CV90" s="78" t="s">
        <v>334</v>
      </c>
      <c r="CW90" s="78"/>
      <c r="CX90" s="80"/>
      <c r="CY90" s="79"/>
      <c r="CZ90" s="81"/>
      <c r="DA90" s="82"/>
    </row>
    <row r="91" spans="68:128">
      <c r="CV91" s="67" t="s">
        <v>853</v>
      </c>
      <c r="CW91" s="83" t="s">
        <v>1415</v>
      </c>
      <c r="CX91" s="88" t="s">
        <v>278</v>
      </c>
      <c r="CY91" s="86">
        <v>628000</v>
      </c>
      <c r="CZ91" s="86">
        <v>314000</v>
      </c>
      <c r="DA91" s="82"/>
    </row>
    <row r="92" spans="68:128">
      <c r="BP92" s="23"/>
      <c r="CV92" s="67" t="s">
        <v>853</v>
      </c>
      <c r="CW92" s="83" t="s">
        <v>1416</v>
      </c>
      <c r="CX92" s="88" t="s">
        <v>278</v>
      </c>
      <c r="CY92" s="86">
        <v>814000</v>
      </c>
      <c r="CZ92" s="86">
        <v>407000</v>
      </c>
      <c r="DA92" s="82"/>
    </row>
    <row r="93" spans="68:128">
      <c r="CV93" s="67" t="s">
        <v>853</v>
      </c>
      <c r="CW93" s="83" t="s">
        <v>1417</v>
      </c>
      <c r="CX93" s="88" t="s">
        <v>278</v>
      </c>
      <c r="CY93" s="86">
        <v>814000</v>
      </c>
      <c r="CZ93" s="86">
        <v>407000</v>
      </c>
      <c r="DA93" s="82"/>
    </row>
    <row r="94" spans="68:128">
      <c r="CV94" s="67" t="s">
        <v>853</v>
      </c>
      <c r="CW94" s="83" t="s">
        <v>1418</v>
      </c>
      <c r="CX94" s="88" t="s">
        <v>278</v>
      </c>
      <c r="CY94" s="86">
        <v>936000</v>
      </c>
      <c r="CZ94" s="86">
        <v>468000</v>
      </c>
      <c r="DA94" s="82"/>
    </row>
    <row r="95" spans="68:128">
      <c r="CV95" s="67" t="s">
        <v>853</v>
      </c>
      <c r="CW95" s="83" t="s">
        <v>1419</v>
      </c>
      <c r="CX95" s="88" t="s">
        <v>278</v>
      </c>
      <c r="CY95" s="86">
        <v>1044000</v>
      </c>
      <c r="CZ95" s="86">
        <v>522000</v>
      </c>
      <c r="DA95" s="82"/>
    </row>
    <row r="96" spans="68:128">
      <c r="CV96" s="67" t="s">
        <v>853</v>
      </c>
      <c r="CW96" s="83" t="s">
        <v>1420</v>
      </c>
      <c r="CX96" s="88" t="s">
        <v>278</v>
      </c>
      <c r="CY96" s="86">
        <v>1044000</v>
      </c>
      <c r="CZ96" s="86">
        <v>522000</v>
      </c>
      <c r="DA96" s="82"/>
    </row>
    <row r="97" spans="44:207">
      <c r="CV97" s="67" t="s">
        <v>853</v>
      </c>
      <c r="CW97" s="83" t="s">
        <v>1421</v>
      </c>
      <c r="CX97" s="88" t="s">
        <v>278</v>
      </c>
      <c r="CY97" s="86">
        <v>1122000</v>
      </c>
      <c r="CZ97" s="86">
        <v>561000</v>
      </c>
      <c r="DA97" s="82"/>
    </row>
    <row r="98" spans="44:207">
      <c r="CV98" s="67" t="s">
        <v>853</v>
      </c>
      <c r="CW98" s="83" t="s">
        <v>1422</v>
      </c>
      <c r="CX98" s="88" t="s">
        <v>278</v>
      </c>
      <c r="CY98" s="86">
        <v>1266000</v>
      </c>
      <c r="CZ98" s="86">
        <v>633000</v>
      </c>
      <c r="DA98" s="82"/>
    </row>
    <row r="99" spans="44:207">
      <c r="CV99" s="67" t="s">
        <v>853</v>
      </c>
      <c r="CW99" s="83" t="s">
        <v>1423</v>
      </c>
      <c r="CX99" s="88" t="s">
        <v>278</v>
      </c>
      <c r="CY99" s="86">
        <v>1430000</v>
      </c>
      <c r="CZ99" s="86">
        <v>715000</v>
      </c>
      <c r="DA99" s="82"/>
      <c r="GY99" s="43"/>
    </row>
    <row r="100" spans="44:207">
      <c r="CV100" s="67" t="s">
        <v>853</v>
      </c>
      <c r="CW100" s="83" t="s">
        <v>1424</v>
      </c>
      <c r="CX100" s="88" t="s">
        <v>278</v>
      </c>
      <c r="CY100" s="86">
        <v>1980000</v>
      </c>
      <c r="CZ100" s="86">
        <v>990000</v>
      </c>
      <c r="DA100" s="82"/>
      <c r="DL100" s="44" t="s">
        <v>282</v>
      </c>
      <c r="DM100" s="25" t="s">
        <v>1425</v>
      </c>
      <c r="DN100" s="25" t="s">
        <v>69</v>
      </c>
      <c r="DO100" s="28">
        <v>1620000</v>
      </c>
    </row>
    <row r="101" spans="44:207">
      <c r="BP101" s="23"/>
      <c r="CV101" s="67" t="s">
        <v>853</v>
      </c>
      <c r="CW101" s="83" t="s">
        <v>1426</v>
      </c>
      <c r="CX101" s="88" t="s">
        <v>278</v>
      </c>
      <c r="CY101" s="86">
        <v>2288000</v>
      </c>
      <c r="CZ101" s="86">
        <v>1144000</v>
      </c>
      <c r="DA101" s="82"/>
      <c r="DL101" s="25" t="s">
        <v>282</v>
      </c>
      <c r="DM101" s="25" t="s">
        <v>1427</v>
      </c>
      <c r="DN101" s="25" t="s">
        <v>69</v>
      </c>
      <c r="DO101" s="28">
        <v>2090000</v>
      </c>
    </row>
    <row r="102" spans="44:207">
      <c r="CV102" s="80" t="s">
        <v>334</v>
      </c>
      <c r="CW102" s="78"/>
      <c r="CX102" s="80"/>
      <c r="CY102" s="79"/>
      <c r="CZ102" s="81"/>
      <c r="DA102" s="82"/>
      <c r="DL102" s="25" t="s">
        <v>282</v>
      </c>
      <c r="DM102" s="25" t="s">
        <v>1428</v>
      </c>
      <c r="DN102" s="25" t="s">
        <v>69</v>
      </c>
      <c r="DO102" s="28">
        <v>2660000</v>
      </c>
    </row>
    <row r="103" spans="44:207">
      <c r="CV103" s="67" t="s">
        <v>853</v>
      </c>
      <c r="CW103" s="83" t="s">
        <v>1429</v>
      </c>
      <c r="CX103" s="88" t="s">
        <v>278</v>
      </c>
      <c r="CY103" s="86">
        <v>1122000</v>
      </c>
      <c r="CZ103" s="86">
        <v>561000</v>
      </c>
      <c r="DA103" s="82"/>
      <c r="DL103" s="25" t="s">
        <v>282</v>
      </c>
      <c r="DM103" s="25" t="s">
        <v>1430</v>
      </c>
      <c r="DN103" s="25" t="s">
        <v>69</v>
      </c>
      <c r="DO103" s="28">
        <v>3130000</v>
      </c>
    </row>
    <row r="104" spans="44:207">
      <c r="CV104" s="67" t="s">
        <v>853</v>
      </c>
      <c r="CW104" s="83" t="s">
        <v>1431</v>
      </c>
      <c r="CX104" s="88" t="s">
        <v>278</v>
      </c>
      <c r="CY104" s="86">
        <v>1196000</v>
      </c>
      <c r="CZ104" s="86">
        <v>598000</v>
      </c>
      <c r="DA104" s="82"/>
      <c r="DL104" s="25" t="s">
        <v>282</v>
      </c>
      <c r="DM104" s="25" t="s">
        <v>1432</v>
      </c>
      <c r="DN104" s="25" t="s">
        <v>69</v>
      </c>
      <c r="DO104" s="28">
        <v>4680000</v>
      </c>
    </row>
    <row r="105" spans="44:207">
      <c r="CV105" s="67" t="s">
        <v>853</v>
      </c>
      <c r="CW105" s="83" t="s">
        <v>1433</v>
      </c>
      <c r="CX105" s="88" t="s">
        <v>278</v>
      </c>
      <c r="CY105" s="86">
        <v>1392000</v>
      </c>
      <c r="CZ105" s="86">
        <v>696000</v>
      </c>
      <c r="DA105" s="82"/>
      <c r="DL105" s="25" t="s">
        <v>282</v>
      </c>
      <c r="DM105" s="25" t="s">
        <v>1434</v>
      </c>
      <c r="DN105" s="25" t="s">
        <v>69</v>
      </c>
      <c r="DO105" s="28">
        <v>6200000</v>
      </c>
    </row>
    <row r="106" spans="44:207">
      <c r="AR106" s="44" t="s">
        <v>260</v>
      </c>
      <c r="AS106" s="25" t="s">
        <v>1435</v>
      </c>
      <c r="AT106" s="25" t="s">
        <v>69</v>
      </c>
      <c r="AU106" s="28">
        <v>530000</v>
      </c>
      <c r="AV106" s="28">
        <v>212000</v>
      </c>
      <c r="AW106" s="31">
        <v>1.3</v>
      </c>
      <c r="CV106" s="67" t="s">
        <v>853</v>
      </c>
      <c r="CW106" s="83" t="s">
        <v>1436</v>
      </c>
      <c r="CX106" s="88" t="s">
        <v>278</v>
      </c>
      <c r="CY106" s="86">
        <v>1408000</v>
      </c>
      <c r="CZ106" s="86">
        <v>704000</v>
      </c>
      <c r="DA106" s="82"/>
      <c r="DL106" s="25" t="s">
        <v>282</v>
      </c>
      <c r="DM106" s="25" t="s">
        <v>1437</v>
      </c>
      <c r="DN106" s="25" t="s">
        <v>69</v>
      </c>
      <c r="DO106" s="28">
        <v>9490000</v>
      </c>
    </row>
    <row r="107" spans="44:207">
      <c r="AR107" s="25" t="s">
        <v>260</v>
      </c>
      <c r="AS107" s="25" t="s">
        <v>1438</v>
      </c>
      <c r="AT107" s="25" t="s">
        <v>69</v>
      </c>
      <c r="AU107" s="28">
        <v>550000</v>
      </c>
      <c r="AV107" s="28">
        <v>220000</v>
      </c>
      <c r="AW107" s="31">
        <v>1.4</v>
      </c>
      <c r="CV107" s="67" t="s">
        <v>853</v>
      </c>
      <c r="CW107" s="83" t="s">
        <v>1439</v>
      </c>
      <c r="CX107" s="88" t="s">
        <v>278</v>
      </c>
      <c r="CY107" s="86">
        <v>1952000</v>
      </c>
      <c r="CZ107" s="86">
        <v>976000</v>
      </c>
      <c r="DA107" s="82"/>
      <c r="DL107" s="23" t="s">
        <v>369</v>
      </c>
    </row>
    <row r="108" spans="44:207">
      <c r="AR108" s="25" t="s">
        <v>260</v>
      </c>
      <c r="AS108" s="25" t="s">
        <v>1440</v>
      </c>
      <c r="AT108" s="25" t="s">
        <v>69</v>
      </c>
      <c r="AU108" s="28">
        <v>590000</v>
      </c>
      <c r="AV108" s="28">
        <v>236000</v>
      </c>
      <c r="AW108" s="31">
        <v>1.55</v>
      </c>
      <c r="CV108" s="67" t="s">
        <v>853</v>
      </c>
      <c r="CW108" s="83" t="s">
        <v>1441</v>
      </c>
      <c r="CX108" s="88" t="s">
        <v>278</v>
      </c>
      <c r="CY108" s="86">
        <v>1980000</v>
      </c>
      <c r="CZ108" s="86">
        <v>990000</v>
      </c>
      <c r="DA108" s="82"/>
      <c r="DD108" s="44" t="s">
        <v>1442</v>
      </c>
      <c r="DE108" s="25" t="s">
        <v>1443</v>
      </c>
      <c r="DF108" s="25" t="s">
        <v>69</v>
      </c>
      <c r="DG108" s="28">
        <v>1200000</v>
      </c>
      <c r="DL108" s="25" t="s">
        <v>639</v>
      </c>
      <c r="DM108" s="25" t="s">
        <v>1444</v>
      </c>
      <c r="DN108" s="25" t="s">
        <v>69</v>
      </c>
      <c r="DO108" s="28">
        <v>2430000</v>
      </c>
    </row>
    <row r="109" spans="44:207">
      <c r="AR109" s="25" t="s">
        <v>260</v>
      </c>
      <c r="AS109" s="25" t="s">
        <v>1445</v>
      </c>
      <c r="AT109" s="25" t="s">
        <v>69</v>
      </c>
      <c r="AU109" s="28">
        <v>620000</v>
      </c>
      <c r="AV109" s="28">
        <v>248000</v>
      </c>
      <c r="AW109" s="31">
        <v>1.65</v>
      </c>
      <c r="BP109" s="23"/>
      <c r="CV109" s="67" t="s">
        <v>853</v>
      </c>
      <c r="CW109" s="83" t="s">
        <v>1446</v>
      </c>
      <c r="CX109" s="88" t="s">
        <v>278</v>
      </c>
      <c r="CY109" s="86">
        <v>2454000</v>
      </c>
      <c r="CZ109" s="86">
        <v>1227000</v>
      </c>
      <c r="DA109" s="82"/>
      <c r="DD109" s="25" t="s">
        <v>1447</v>
      </c>
      <c r="DE109" s="25" t="s">
        <v>1448</v>
      </c>
      <c r="DF109" s="25" t="s">
        <v>69</v>
      </c>
      <c r="DL109" s="25" t="s">
        <v>639</v>
      </c>
      <c r="DM109" s="25" t="s">
        <v>1449</v>
      </c>
      <c r="DN109" s="25" t="s">
        <v>69</v>
      </c>
      <c r="DO109" s="28">
        <v>3050000</v>
      </c>
    </row>
    <row r="110" spans="44:207">
      <c r="AR110" s="25" t="s">
        <v>260</v>
      </c>
      <c r="AS110" s="25" t="s">
        <v>1450</v>
      </c>
      <c r="AT110" s="25" t="s">
        <v>69</v>
      </c>
      <c r="AU110" s="28">
        <v>650000</v>
      </c>
      <c r="AV110" s="28">
        <v>260000</v>
      </c>
      <c r="AW110" s="31">
        <v>1.75</v>
      </c>
      <c r="CV110" s="67" t="s">
        <v>853</v>
      </c>
      <c r="CW110" s="83" t="s">
        <v>1451</v>
      </c>
      <c r="CX110" s="88" t="s">
        <v>278</v>
      </c>
      <c r="CY110" s="86">
        <v>2454000</v>
      </c>
      <c r="CZ110" s="86">
        <v>1227000</v>
      </c>
      <c r="DA110" s="82"/>
      <c r="DD110" s="25" t="s">
        <v>1452</v>
      </c>
      <c r="DE110" s="25" t="s">
        <v>1453</v>
      </c>
      <c r="DF110" s="25" t="s">
        <v>69</v>
      </c>
      <c r="DG110" s="28">
        <v>3321000</v>
      </c>
      <c r="DL110" s="25" t="s">
        <v>639</v>
      </c>
      <c r="DM110" s="25" t="s">
        <v>1454</v>
      </c>
      <c r="DN110" s="25" t="s">
        <v>69</v>
      </c>
      <c r="DO110" s="28">
        <v>3680000</v>
      </c>
    </row>
    <row r="111" spans="44:207">
      <c r="AR111" s="25" t="s">
        <v>260</v>
      </c>
      <c r="AS111" s="25" t="s">
        <v>484</v>
      </c>
      <c r="AT111" s="25" t="s">
        <v>69</v>
      </c>
      <c r="AU111" s="28">
        <v>680000</v>
      </c>
      <c r="AV111" s="28">
        <v>272000</v>
      </c>
      <c r="AW111" s="31">
        <v>1.9</v>
      </c>
      <c r="CV111" s="67" t="s">
        <v>853</v>
      </c>
      <c r="CW111" s="83" t="s">
        <v>1455</v>
      </c>
      <c r="CX111" s="88" t="s">
        <v>278</v>
      </c>
      <c r="CY111" s="86">
        <v>3482000</v>
      </c>
      <c r="CZ111" s="86">
        <v>1741000</v>
      </c>
      <c r="DA111" s="82"/>
      <c r="DD111" s="25" t="s">
        <v>1456</v>
      </c>
      <c r="DE111" s="25" t="s">
        <v>1457</v>
      </c>
      <c r="DF111" s="25" t="s">
        <v>69</v>
      </c>
      <c r="DG111" s="28">
        <v>4450000</v>
      </c>
      <c r="DL111" s="25" t="s">
        <v>639</v>
      </c>
      <c r="DM111" s="25" t="s">
        <v>1458</v>
      </c>
      <c r="DN111" s="25" t="s">
        <v>69</v>
      </c>
      <c r="DO111" s="28">
        <v>4660000</v>
      </c>
    </row>
    <row r="112" spans="44:207">
      <c r="AR112" s="25" t="s">
        <v>260</v>
      </c>
      <c r="AS112" s="25" t="s">
        <v>522</v>
      </c>
      <c r="AT112" s="25" t="s">
        <v>69</v>
      </c>
      <c r="AU112" s="28">
        <v>770000</v>
      </c>
      <c r="AV112" s="28">
        <v>308000</v>
      </c>
      <c r="AW112" s="31">
        <v>2.0499999999999998</v>
      </c>
      <c r="CV112" s="80" t="s">
        <v>334</v>
      </c>
      <c r="CW112" s="78"/>
      <c r="CX112" s="80"/>
      <c r="CY112" s="79"/>
      <c r="CZ112" s="81"/>
      <c r="DA112" s="82"/>
      <c r="DD112" s="25" t="s">
        <v>1459</v>
      </c>
      <c r="DE112" s="25" t="s">
        <v>1460</v>
      </c>
      <c r="DF112" s="25" t="s">
        <v>69</v>
      </c>
      <c r="DG112" s="28">
        <v>5771000</v>
      </c>
      <c r="DL112" s="25" t="s">
        <v>639</v>
      </c>
      <c r="DM112" s="25" t="s">
        <v>1461</v>
      </c>
      <c r="DN112" s="25" t="s">
        <v>69</v>
      </c>
      <c r="DO112" s="28">
        <v>7120000</v>
      </c>
    </row>
    <row r="113" spans="44:119">
      <c r="AR113" s="25" t="s">
        <v>260</v>
      </c>
      <c r="AS113" s="25" t="s">
        <v>1462</v>
      </c>
      <c r="AT113" s="25" t="s">
        <v>69</v>
      </c>
      <c r="AU113" s="28">
        <v>810000</v>
      </c>
      <c r="AV113" s="28">
        <v>324000</v>
      </c>
      <c r="AW113" s="31">
        <v>2.15</v>
      </c>
      <c r="CV113" s="67" t="s">
        <v>853</v>
      </c>
      <c r="CW113" s="83" t="s">
        <v>1463</v>
      </c>
      <c r="CX113" s="88" t="s">
        <v>278</v>
      </c>
      <c r="CY113" s="86">
        <v>1376000</v>
      </c>
      <c r="CZ113" s="86">
        <v>688000</v>
      </c>
      <c r="DA113" s="82"/>
      <c r="DD113" s="25" t="s">
        <v>1464</v>
      </c>
      <c r="DE113" s="25" t="s">
        <v>1465</v>
      </c>
      <c r="DF113" s="25" t="s">
        <v>69</v>
      </c>
      <c r="DG113" s="28">
        <v>7930000</v>
      </c>
      <c r="DL113" s="25" t="s">
        <v>639</v>
      </c>
      <c r="DM113" s="25" t="s">
        <v>1466</v>
      </c>
      <c r="DN113" s="25" t="s">
        <v>69</v>
      </c>
      <c r="DO113" s="28">
        <v>9030000</v>
      </c>
    </row>
    <row r="114" spans="44:119">
      <c r="AR114" s="25" t="s">
        <v>260</v>
      </c>
      <c r="AS114" s="25" t="s">
        <v>561</v>
      </c>
      <c r="AT114" s="25" t="s">
        <v>69</v>
      </c>
      <c r="AU114" s="28">
        <v>900000</v>
      </c>
      <c r="AV114" s="28">
        <v>360000</v>
      </c>
      <c r="AW114" s="31">
        <v>2.2999999999999998</v>
      </c>
      <c r="CV114" s="67" t="s">
        <v>853</v>
      </c>
      <c r="CW114" s="83" t="s">
        <v>1467</v>
      </c>
      <c r="CX114" s="88" t="s">
        <v>278</v>
      </c>
      <c r="CY114" s="86">
        <v>1442000</v>
      </c>
      <c r="CZ114" s="86">
        <v>721000</v>
      </c>
      <c r="DA114" s="82"/>
      <c r="DD114" s="25" t="s">
        <v>1468</v>
      </c>
      <c r="DE114" s="25" t="s">
        <v>1469</v>
      </c>
      <c r="DF114" s="25" t="s">
        <v>69</v>
      </c>
      <c r="DG114" s="28">
        <v>10520000</v>
      </c>
      <c r="DL114" s="25" t="s">
        <v>639</v>
      </c>
      <c r="DM114" s="25" t="s">
        <v>1470</v>
      </c>
      <c r="DN114" s="25" t="s">
        <v>69</v>
      </c>
      <c r="DO114" s="28">
        <v>14160000</v>
      </c>
    </row>
    <row r="115" spans="44:119">
      <c r="AR115" s="25" t="s">
        <v>260</v>
      </c>
      <c r="AS115" s="25" t="s">
        <v>1471</v>
      </c>
      <c r="AT115" s="25" t="s">
        <v>69</v>
      </c>
      <c r="AU115" s="28">
        <v>930000</v>
      </c>
      <c r="AV115" s="28">
        <v>372000</v>
      </c>
      <c r="AW115" s="31">
        <v>2.4</v>
      </c>
      <c r="CV115" s="67" t="s">
        <v>853</v>
      </c>
      <c r="CW115" s="83" t="s">
        <v>1472</v>
      </c>
      <c r="CX115" s="88" t="s">
        <v>278</v>
      </c>
      <c r="CY115" s="86">
        <v>1650000</v>
      </c>
      <c r="CZ115" s="86">
        <v>825000</v>
      </c>
      <c r="DA115" s="82"/>
      <c r="DD115" s="23" t="s">
        <v>1473</v>
      </c>
      <c r="DE115" s="25" t="s">
        <v>1474</v>
      </c>
    </row>
    <row r="116" spans="44:119">
      <c r="AR116" s="25" t="s">
        <v>260</v>
      </c>
      <c r="AS116" s="25" t="s">
        <v>595</v>
      </c>
      <c r="AT116" s="25" t="s">
        <v>69</v>
      </c>
      <c r="AU116" s="28">
        <v>990000</v>
      </c>
      <c r="AV116" s="28">
        <v>396000</v>
      </c>
      <c r="AW116" s="31">
        <v>2.6</v>
      </c>
      <c r="CV116" s="67" t="s">
        <v>853</v>
      </c>
      <c r="CW116" s="83" t="s">
        <v>1475</v>
      </c>
      <c r="CX116" s="88" t="s">
        <v>278</v>
      </c>
      <c r="CY116" s="86">
        <v>2200000</v>
      </c>
      <c r="CZ116" s="86">
        <v>1100000</v>
      </c>
      <c r="DA116" s="82"/>
      <c r="DD116" s="25" t="s">
        <v>1476</v>
      </c>
      <c r="DE116" s="25" t="s">
        <v>1477</v>
      </c>
      <c r="DF116" s="25" t="s">
        <v>69</v>
      </c>
      <c r="DG116" s="28">
        <v>14540000</v>
      </c>
    </row>
    <row r="117" spans="44:119">
      <c r="AR117" s="25" t="s">
        <v>260</v>
      </c>
      <c r="AS117" s="25" t="s">
        <v>628</v>
      </c>
      <c r="AT117" s="25" t="s">
        <v>69</v>
      </c>
      <c r="AU117" s="28">
        <v>1060000</v>
      </c>
      <c r="AV117" s="28">
        <v>424000</v>
      </c>
      <c r="AW117" s="31">
        <v>2.75</v>
      </c>
      <c r="CV117" s="67" t="s">
        <v>853</v>
      </c>
      <c r="CW117" s="83" t="s">
        <v>1478</v>
      </c>
      <c r="CX117" s="88" t="s">
        <v>278</v>
      </c>
      <c r="CY117" s="86">
        <v>2640000</v>
      </c>
      <c r="CZ117" s="86">
        <v>1320000</v>
      </c>
      <c r="DA117" s="82"/>
      <c r="DD117" s="25" t="s">
        <v>1479</v>
      </c>
      <c r="DE117" s="25" t="s">
        <v>1480</v>
      </c>
      <c r="DF117" s="25" t="s">
        <v>69</v>
      </c>
      <c r="DG117" s="28">
        <v>19591000</v>
      </c>
    </row>
    <row r="118" spans="44:119">
      <c r="AR118" s="25" t="s">
        <v>260</v>
      </c>
      <c r="AS118" s="25" t="s">
        <v>1481</v>
      </c>
      <c r="AT118" s="25" t="s">
        <v>69</v>
      </c>
      <c r="AU118" s="28">
        <v>1570000</v>
      </c>
      <c r="AV118" s="28">
        <v>722000</v>
      </c>
      <c r="AW118" s="31">
        <v>3.8</v>
      </c>
      <c r="BP118" s="23"/>
      <c r="CV118" s="67" t="s">
        <v>853</v>
      </c>
      <c r="CW118" s="83" t="s">
        <v>1482</v>
      </c>
      <c r="CX118" s="88" t="s">
        <v>278</v>
      </c>
      <c r="CY118" s="86">
        <v>3256000</v>
      </c>
      <c r="CZ118" s="86">
        <v>1628000</v>
      </c>
      <c r="DA118" s="82"/>
      <c r="DD118" s="25" t="s">
        <v>1483</v>
      </c>
      <c r="DE118" s="25" t="s">
        <v>1484</v>
      </c>
      <c r="DF118" s="25" t="s">
        <v>69</v>
      </c>
      <c r="DG118" s="28">
        <v>23655000</v>
      </c>
    </row>
    <row r="119" spans="44:119">
      <c r="AR119" s="25" t="s">
        <v>260</v>
      </c>
      <c r="AS119" s="25" t="s">
        <v>1485</v>
      </c>
      <c r="AT119" s="25" t="s">
        <v>69</v>
      </c>
      <c r="AU119" s="28">
        <v>1710000</v>
      </c>
      <c r="AV119" s="28">
        <v>786000</v>
      </c>
      <c r="AW119" s="31">
        <v>4</v>
      </c>
      <c r="CV119" s="67" t="s">
        <v>853</v>
      </c>
      <c r="CW119" s="83" t="s">
        <v>1486</v>
      </c>
      <c r="CX119" s="88" t="s">
        <v>278</v>
      </c>
      <c r="CY119" s="86">
        <v>3740000</v>
      </c>
      <c r="CZ119" s="86">
        <v>1870000</v>
      </c>
      <c r="DA119" s="82"/>
      <c r="DD119" s="25" t="s">
        <v>1487</v>
      </c>
      <c r="DE119" s="25" t="s">
        <v>1488</v>
      </c>
      <c r="DF119" s="25" t="s">
        <v>69</v>
      </c>
      <c r="DG119" s="28">
        <v>28441000</v>
      </c>
    </row>
    <row r="120" spans="44:119">
      <c r="AR120" s="23" t="s">
        <v>369</v>
      </c>
      <c r="AW120" s="25" t="s">
        <v>936</v>
      </c>
      <c r="CV120" s="67" t="s">
        <v>853</v>
      </c>
      <c r="CW120" s="83" t="s">
        <v>1489</v>
      </c>
      <c r="CX120" s="88" t="s">
        <v>278</v>
      </c>
      <c r="CY120" s="86">
        <v>3740000</v>
      </c>
      <c r="CZ120" s="86">
        <v>1870000</v>
      </c>
      <c r="DA120" s="82"/>
      <c r="DD120" s="23" t="s">
        <v>1473</v>
      </c>
    </row>
    <row r="121" spans="44:119">
      <c r="AR121" s="25" t="s">
        <v>260</v>
      </c>
      <c r="AS121" s="25" t="s">
        <v>1490</v>
      </c>
      <c r="AT121" s="25" t="s">
        <v>69</v>
      </c>
      <c r="AU121" s="28">
        <v>1080000</v>
      </c>
      <c r="AV121" s="28">
        <v>440000</v>
      </c>
      <c r="AW121" s="31">
        <v>1.3</v>
      </c>
      <c r="CV121" s="67" t="s">
        <v>853</v>
      </c>
      <c r="CW121" s="83" t="s">
        <v>1491</v>
      </c>
      <c r="CX121" s="88" t="s">
        <v>278</v>
      </c>
      <c r="CY121" s="86">
        <v>4282000</v>
      </c>
      <c r="CZ121" s="86">
        <v>2141000</v>
      </c>
      <c r="DA121" s="82"/>
      <c r="DD121" s="25" t="s">
        <v>1492</v>
      </c>
      <c r="DE121" s="25" t="s">
        <v>1493</v>
      </c>
      <c r="DF121" s="25" t="s">
        <v>69</v>
      </c>
      <c r="DG121" s="28">
        <v>2662000</v>
      </c>
    </row>
    <row r="122" spans="44:119">
      <c r="AR122" s="25" t="s">
        <v>260</v>
      </c>
      <c r="AS122" s="25" t="s">
        <v>1494</v>
      </c>
      <c r="AT122" s="25" t="s">
        <v>69</v>
      </c>
      <c r="AU122" s="28">
        <v>1130000</v>
      </c>
      <c r="AV122" s="28">
        <v>460000</v>
      </c>
      <c r="AW122" s="31">
        <v>1.4</v>
      </c>
      <c r="DD122" s="25" t="s">
        <v>1495</v>
      </c>
      <c r="DE122" s="25" t="s">
        <v>1496</v>
      </c>
      <c r="DF122" s="25" t="s">
        <v>69</v>
      </c>
      <c r="DG122" s="28">
        <v>3528000</v>
      </c>
    </row>
    <row r="123" spans="44:119">
      <c r="AR123" s="25" t="s">
        <v>260</v>
      </c>
      <c r="AS123" s="25" t="s">
        <v>1497</v>
      </c>
      <c r="AT123" s="25" t="s">
        <v>69</v>
      </c>
      <c r="AU123" s="28">
        <v>1180000</v>
      </c>
      <c r="AV123" s="28">
        <v>480000</v>
      </c>
      <c r="AW123" s="31">
        <v>1.55</v>
      </c>
      <c r="DD123" s="23" t="s">
        <v>1498</v>
      </c>
      <c r="DE123" s="25" t="s">
        <v>1499</v>
      </c>
      <c r="DG123" s="28">
        <v>4618000</v>
      </c>
    </row>
    <row r="124" spans="44:119">
      <c r="AR124" s="25" t="s">
        <v>260</v>
      </c>
      <c r="AS124" s="25" t="s">
        <v>1500</v>
      </c>
      <c r="AT124" s="25" t="s">
        <v>69</v>
      </c>
      <c r="AU124" s="28">
        <v>1250000</v>
      </c>
      <c r="AV124" s="28">
        <v>512000</v>
      </c>
      <c r="AW124" s="31">
        <v>1.65</v>
      </c>
      <c r="DD124" s="25" t="s">
        <v>1501</v>
      </c>
      <c r="DE124" s="25" t="s">
        <v>1502</v>
      </c>
      <c r="DF124" s="25" t="s">
        <v>69</v>
      </c>
      <c r="DG124" s="28">
        <v>6235000</v>
      </c>
    </row>
    <row r="125" spans="44:119">
      <c r="AR125" s="25" t="s">
        <v>260</v>
      </c>
      <c r="AS125" s="25" t="s">
        <v>1503</v>
      </c>
      <c r="AT125" s="25" t="s">
        <v>69</v>
      </c>
      <c r="AU125" s="28">
        <v>1290000</v>
      </c>
      <c r="AV125" s="28">
        <v>532000</v>
      </c>
      <c r="AW125" s="31">
        <v>1.75</v>
      </c>
      <c r="DD125" s="25" t="s">
        <v>1504</v>
      </c>
      <c r="DE125" s="25" t="s">
        <v>1505</v>
      </c>
      <c r="DF125" s="25" t="s">
        <v>69</v>
      </c>
      <c r="DG125" s="28">
        <v>8453000</v>
      </c>
    </row>
    <row r="126" spans="44:119">
      <c r="AR126" s="25" t="s">
        <v>260</v>
      </c>
      <c r="AS126" s="25" t="s">
        <v>1506</v>
      </c>
      <c r="AT126" s="25" t="s">
        <v>69</v>
      </c>
      <c r="AU126" s="28">
        <v>1390000</v>
      </c>
      <c r="AV126" s="28">
        <v>572000</v>
      </c>
      <c r="AW126" s="31">
        <v>1.9</v>
      </c>
      <c r="DD126" s="25" t="s">
        <v>1507</v>
      </c>
    </row>
    <row r="127" spans="44:119">
      <c r="AR127" s="25" t="s">
        <v>260</v>
      </c>
      <c r="AS127" s="25" t="s">
        <v>1508</v>
      </c>
      <c r="AT127" s="25" t="s">
        <v>69</v>
      </c>
      <c r="AU127" s="28">
        <v>1600000</v>
      </c>
      <c r="AV127" s="28">
        <v>640000</v>
      </c>
      <c r="AW127" s="31">
        <v>2.0499999999999998</v>
      </c>
      <c r="BP127" s="23"/>
      <c r="DD127" s="25" t="s">
        <v>1509</v>
      </c>
      <c r="DE127" s="25" t="s">
        <v>1510</v>
      </c>
      <c r="DF127" s="25" t="s">
        <v>69</v>
      </c>
      <c r="DG127" s="28">
        <v>6401000</v>
      </c>
    </row>
    <row r="128" spans="44:119">
      <c r="AR128" s="25" t="s">
        <v>260</v>
      </c>
      <c r="AS128" s="25" t="s">
        <v>1511</v>
      </c>
      <c r="AT128" s="25" t="s">
        <v>69</v>
      </c>
      <c r="AU128" s="28">
        <v>1650000</v>
      </c>
      <c r="AV128" s="28">
        <v>660000</v>
      </c>
      <c r="AW128" s="31">
        <v>2.15</v>
      </c>
    </row>
    <row r="129" spans="44:68">
      <c r="AR129" s="25" t="s">
        <v>260</v>
      </c>
      <c r="AS129" s="25" t="s">
        <v>1512</v>
      </c>
      <c r="AT129" s="25" t="s">
        <v>69</v>
      </c>
      <c r="AU129" s="28">
        <v>1740000</v>
      </c>
      <c r="AV129" s="28">
        <v>696000</v>
      </c>
      <c r="AW129" s="31">
        <v>2.2999999999999998</v>
      </c>
    </row>
    <row r="130" spans="44:68">
      <c r="AR130" s="25" t="s">
        <v>260</v>
      </c>
      <c r="AS130" s="25" t="s">
        <v>1513</v>
      </c>
      <c r="AT130" s="25" t="s">
        <v>69</v>
      </c>
      <c r="AU130" s="28">
        <v>1780000</v>
      </c>
      <c r="AV130" s="28">
        <v>712000</v>
      </c>
      <c r="AW130" s="31">
        <v>2.4</v>
      </c>
    </row>
    <row r="131" spans="44:68">
      <c r="AR131" s="25" t="s">
        <v>260</v>
      </c>
      <c r="AS131" s="25" t="s">
        <v>1514</v>
      </c>
      <c r="AT131" s="25" t="s">
        <v>69</v>
      </c>
      <c r="AU131" s="28">
        <v>1910000</v>
      </c>
      <c r="AV131" s="28">
        <v>800000</v>
      </c>
      <c r="AW131" s="31">
        <v>2.6</v>
      </c>
    </row>
    <row r="132" spans="44:68">
      <c r="AR132" s="25" t="s">
        <v>260</v>
      </c>
      <c r="AS132" s="25" t="s">
        <v>1515</v>
      </c>
      <c r="AT132" s="25" t="s">
        <v>69</v>
      </c>
      <c r="AU132" s="28">
        <v>2000000</v>
      </c>
      <c r="AV132" s="28">
        <v>1119000</v>
      </c>
      <c r="AW132" s="31">
        <v>2.75</v>
      </c>
    </row>
    <row r="136" spans="44:68">
      <c r="BP136" s="23"/>
    </row>
    <row r="145" spans="68:68">
      <c r="BP145" s="23"/>
    </row>
  </sheetData>
  <phoneticPr fontId="2"/>
  <pageMargins left="0.78700000000000003" right="0.78700000000000003" top="0.98399999999999999" bottom="0.98399999999999999" header="0.51200000000000001" footer="0.51200000000000001"/>
  <pageSetup paperSize="8" fitToWidth="0" orientation="landscape" verticalDpi="300" r:id="rId1"/>
  <headerFooter alignWithMargins="0"/>
  <ignoredErrors>
    <ignoredError sqref="EQ51 EI53:EI58 EQ55:EQ56 AA3:AA5 AQ3:AQ6 AY3:AY4 EA5 EI3:EI6 EQ3:EQ6 FG3 GM3:GM5 AY6 DC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B1:BS64"/>
  <sheetViews>
    <sheetView topLeftCell="C1" zoomScaleNormal="100" workbookViewId="0">
      <selection activeCell="Q29" sqref="Q29"/>
    </sheetView>
  </sheetViews>
  <sheetFormatPr defaultColWidth="9" defaultRowHeight="11.25"/>
  <cols>
    <col min="1" max="1" width="1.5703125" style="25" customWidth="1"/>
    <col min="2" max="2" width="3.5703125" style="25" customWidth="1"/>
    <col min="3" max="3" width="28.7109375" style="25" bestFit="1" customWidth="1"/>
    <col min="4" max="7" width="5.5703125" style="25" customWidth="1"/>
    <col min="8" max="8" width="8.28515625" style="54" bestFit="1" customWidth="1"/>
    <col min="9" max="9" width="19.42578125" style="25" bestFit="1" customWidth="1"/>
    <col min="10" max="10" width="16.5703125" style="25" bestFit="1" customWidth="1"/>
    <col min="11" max="11" width="5.28515625" style="25" bestFit="1" customWidth="1"/>
    <col min="12" max="12" width="7.42578125" style="28" bestFit="1" customWidth="1"/>
    <col min="13" max="13" width="6.7109375" style="28" bestFit="1" customWidth="1"/>
    <col min="14" max="14" width="4.42578125" style="25" bestFit="1" customWidth="1"/>
    <col min="15" max="15" width="5.5703125" style="25" customWidth="1"/>
    <col min="16" max="16" width="8.28515625" style="54" bestFit="1" customWidth="1"/>
    <col min="17" max="17" width="13.85546875" style="25" bestFit="1" customWidth="1"/>
    <col min="18" max="18" width="11.7109375" style="25" bestFit="1" customWidth="1"/>
    <col min="19" max="19" width="4.42578125" style="25" bestFit="1" customWidth="1"/>
    <col min="20" max="20" width="7.42578125" style="28" bestFit="1" customWidth="1"/>
    <col min="21" max="21" width="6.7109375" style="28" bestFit="1" customWidth="1"/>
    <col min="22" max="22" width="4.42578125" style="25" bestFit="1" customWidth="1"/>
    <col min="23" max="23" width="5.5703125" style="25" customWidth="1"/>
    <col min="24" max="24" width="8.28515625" style="54" bestFit="1" customWidth="1"/>
    <col min="25" max="25" width="11.7109375" style="25" bestFit="1" customWidth="1"/>
    <col min="26" max="26" width="9.7109375" style="25" bestFit="1" customWidth="1"/>
    <col min="27" max="27" width="4.42578125" style="25" bestFit="1" customWidth="1"/>
    <col min="28" max="28" width="7.42578125" style="28" bestFit="1" customWidth="1"/>
    <col min="29" max="29" width="6.7109375" style="28" bestFit="1" customWidth="1"/>
    <col min="30" max="30" width="4.42578125" style="25" bestFit="1" customWidth="1"/>
    <col min="31" max="31" width="5.5703125" style="25" customWidth="1"/>
    <col min="32" max="32" width="8.28515625" style="54" bestFit="1" customWidth="1"/>
    <col min="33" max="34" width="11.140625" style="25" bestFit="1" customWidth="1"/>
    <col min="35" max="35" width="4.42578125" style="25" bestFit="1" customWidth="1"/>
    <col min="36" max="36" width="6.7109375" style="28" bestFit="1" customWidth="1"/>
    <col min="37" max="37" width="6" style="28" bestFit="1" customWidth="1"/>
    <col min="38" max="38" width="4.42578125" style="25" bestFit="1" customWidth="1"/>
    <col min="39" max="39" width="5.5703125" style="25" customWidth="1"/>
    <col min="40" max="40" width="7.42578125" style="54" bestFit="1" customWidth="1"/>
    <col min="41" max="41" width="10.42578125" style="25" bestFit="1" customWidth="1"/>
    <col min="42" max="42" width="8" style="25" bestFit="1" customWidth="1"/>
    <col min="43" max="43" width="4.42578125" style="25" bestFit="1" customWidth="1"/>
    <col min="44" max="44" width="7.42578125" style="25" bestFit="1" customWidth="1"/>
    <col min="45" max="45" width="6.28515625" style="25" bestFit="1" customWidth="1"/>
    <col min="46" max="46" width="4.42578125" style="25" bestFit="1" customWidth="1"/>
    <col min="47" max="47" width="5.5703125" style="25" customWidth="1"/>
    <col min="48" max="48" width="4.42578125" style="54" bestFit="1" customWidth="1"/>
    <col min="49" max="49" width="13.42578125" style="25" bestFit="1" customWidth="1"/>
    <col min="50" max="51" width="4.42578125" style="25" bestFit="1" customWidth="1"/>
    <col min="52" max="52" width="7.42578125" style="28" bestFit="1" customWidth="1"/>
    <col min="53" max="53" width="5.28515625" style="28" bestFit="1" customWidth="1"/>
    <col min="54" max="54" width="4.42578125" style="25" bestFit="1" customWidth="1"/>
    <col min="55" max="55" width="5.5703125" style="25" customWidth="1"/>
    <col min="56" max="56" width="4.42578125" style="54" bestFit="1" customWidth="1"/>
    <col min="57" max="57" width="14.42578125" style="25" bestFit="1" customWidth="1"/>
    <col min="58" max="58" width="16.7109375" style="25" bestFit="1" customWidth="1"/>
    <col min="59" max="59" width="4.42578125" style="25" bestFit="1" customWidth="1"/>
    <col min="60" max="60" width="7.42578125" style="28" bestFit="1" customWidth="1"/>
    <col min="61" max="61" width="5.28515625" style="28" bestFit="1" customWidth="1"/>
    <col min="62" max="62" width="5.28515625" style="25" bestFit="1" customWidth="1"/>
    <col min="63" max="63" width="3.7109375" style="25" bestFit="1" customWidth="1"/>
    <col min="64" max="64" width="7.85546875" style="25" bestFit="1" customWidth="1"/>
    <col min="65" max="65" width="4.42578125" style="54" bestFit="1" customWidth="1"/>
    <col min="66" max="66" width="10.42578125" style="25" bestFit="1" customWidth="1"/>
    <col min="67" max="67" width="24.28515625" style="25" bestFit="1" customWidth="1"/>
    <col min="68" max="68" width="4.42578125" style="25" bestFit="1" customWidth="1"/>
    <col min="69" max="69" width="7.42578125" style="25" bestFit="1" customWidth="1"/>
    <col min="70" max="71" width="4.42578125" style="25" bestFit="1" customWidth="1"/>
    <col min="72" max="16384" width="9" style="25"/>
  </cols>
  <sheetData>
    <row r="1" spans="2:71">
      <c r="H1" s="54" t="s">
        <v>226</v>
      </c>
      <c r="I1" s="25" t="s">
        <v>227</v>
      </c>
      <c r="J1" s="26" t="s">
        <v>228</v>
      </c>
      <c r="K1" s="25" t="s">
        <v>1516</v>
      </c>
      <c r="L1" s="28" t="s">
        <v>1517</v>
      </c>
      <c r="M1" s="28" t="s">
        <v>230</v>
      </c>
      <c r="N1" s="25" t="s">
        <v>231</v>
      </c>
      <c r="P1" s="54" t="s">
        <v>226</v>
      </c>
      <c r="Q1" s="25" t="s">
        <v>227</v>
      </c>
      <c r="R1" s="26" t="s">
        <v>228</v>
      </c>
      <c r="S1" s="25" t="s">
        <v>1516</v>
      </c>
      <c r="T1" s="28" t="s">
        <v>1517</v>
      </c>
      <c r="U1" s="28" t="s">
        <v>230</v>
      </c>
      <c r="V1" s="25" t="s">
        <v>231</v>
      </c>
      <c r="X1" s="54" t="s">
        <v>226</v>
      </c>
      <c r="Y1" s="25" t="s">
        <v>227</v>
      </c>
      <c r="Z1" s="26" t="s">
        <v>228</v>
      </c>
      <c r="AA1" s="25" t="s">
        <v>1516</v>
      </c>
      <c r="AB1" s="28" t="s">
        <v>1517</v>
      </c>
      <c r="AC1" s="28" t="s">
        <v>230</v>
      </c>
      <c r="AD1" s="25" t="s">
        <v>231</v>
      </c>
      <c r="AF1" s="54" t="s">
        <v>226</v>
      </c>
      <c r="AG1" s="25" t="s">
        <v>227</v>
      </c>
      <c r="AH1" s="26" t="s">
        <v>228</v>
      </c>
      <c r="AI1" s="25" t="s">
        <v>1516</v>
      </c>
      <c r="AJ1" s="28" t="s">
        <v>1517</v>
      </c>
      <c r="AK1" s="28" t="s">
        <v>230</v>
      </c>
      <c r="AL1" s="25" t="s">
        <v>231</v>
      </c>
      <c r="AN1" s="54" t="s">
        <v>226</v>
      </c>
      <c r="AO1" s="25" t="s">
        <v>227</v>
      </c>
      <c r="AP1" s="26" t="s">
        <v>228</v>
      </c>
      <c r="AQ1" s="25" t="s">
        <v>1516</v>
      </c>
      <c r="AR1" s="28" t="s">
        <v>1517</v>
      </c>
      <c r="AS1" s="28" t="s">
        <v>230</v>
      </c>
      <c r="AT1" s="25" t="s">
        <v>231</v>
      </c>
      <c r="AV1" s="54" t="s">
        <v>226</v>
      </c>
      <c r="AW1" s="25" t="s">
        <v>227</v>
      </c>
      <c r="AX1" s="25" t="s">
        <v>228</v>
      </c>
      <c r="AY1" s="25" t="s">
        <v>1516</v>
      </c>
      <c r="AZ1" s="28" t="s">
        <v>1517</v>
      </c>
      <c r="BA1" s="28" t="s">
        <v>230</v>
      </c>
      <c r="BB1" s="25" t="s">
        <v>231</v>
      </c>
      <c r="BD1" s="54" t="s">
        <v>226</v>
      </c>
      <c r="BE1" s="25" t="s">
        <v>227</v>
      </c>
      <c r="BF1" s="26" t="s">
        <v>228</v>
      </c>
      <c r="BG1" s="25" t="s">
        <v>1516</v>
      </c>
      <c r="BH1" s="28" t="s">
        <v>1517</v>
      </c>
      <c r="BI1" s="28" t="s">
        <v>230</v>
      </c>
      <c r="BJ1" s="25" t="s">
        <v>231</v>
      </c>
      <c r="BM1" s="54" t="s">
        <v>226</v>
      </c>
      <c r="BN1" s="25" t="s">
        <v>227</v>
      </c>
      <c r="BO1" s="26" t="s">
        <v>228</v>
      </c>
      <c r="BP1" s="25" t="s">
        <v>1516</v>
      </c>
      <c r="BQ1" s="28" t="s">
        <v>1517</v>
      </c>
      <c r="BR1" s="28" t="s">
        <v>230</v>
      </c>
      <c r="BS1" s="25" t="s">
        <v>231</v>
      </c>
    </row>
    <row r="2" spans="2:71">
      <c r="AW2" s="32" t="s">
        <v>1518</v>
      </c>
      <c r="BA2" s="25"/>
      <c r="BE2" s="32" t="s">
        <v>1519</v>
      </c>
      <c r="BI2" s="25">
        <v>0.85</v>
      </c>
      <c r="BN2" s="33" t="s">
        <v>1520</v>
      </c>
    </row>
    <row r="3" spans="2:71">
      <c r="B3" s="25">
        <v>1</v>
      </c>
      <c r="C3" s="33" t="s">
        <v>1521</v>
      </c>
      <c r="D3" s="25" t="s">
        <v>1522</v>
      </c>
      <c r="H3" s="92" t="s">
        <v>1523</v>
      </c>
      <c r="I3" s="25" t="s">
        <v>1524</v>
      </c>
      <c r="J3" s="33" t="s">
        <v>1525</v>
      </c>
      <c r="K3" s="25" t="s">
        <v>741</v>
      </c>
      <c r="L3" s="323">
        <v>254000</v>
      </c>
      <c r="M3" s="323">
        <v>81540</v>
      </c>
      <c r="N3" s="31">
        <v>0</v>
      </c>
      <c r="P3" s="92" t="s">
        <v>1526</v>
      </c>
      <c r="Q3" s="25" t="s">
        <v>1527</v>
      </c>
      <c r="R3" s="25" t="s">
        <v>1528</v>
      </c>
      <c r="S3" s="25" t="s">
        <v>73</v>
      </c>
      <c r="T3" s="244">
        <v>75000</v>
      </c>
      <c r="U3" s="323">
        <v>28060</v>
      </c>
      <c r="V3" s="31">
        <v>0</v>
      </c>
      <c r="AD3" s="31"/>
      <c r="AF3" s="92" t="s">
        <v>1529</v>
      </c>
      <c r="AG3" s="25" t="s">
        <v>1530</v>
      </c>
      <c r="AH3" s="25" t="s">
        <v>1531</v>
      </c>
      <c r="AI3" s="25" t="s">
        <v>460</v>
      </c>
      <c r="AJ3" s="244">
        <v>135000</v>
      </c>
      <c r="AK3" s="323">
        <v>61670</v>
      </c>
      <c r="AL3" s="31">
        <v>1.5</v>
      </c>
      <c r="AW3" s="25" t="s">
        <v>1532</v>
      </c>
      <c r="AX3" s="25" t="s">
        <v>1533</v>
      </c>
      <c r="AY3" s="25" t="s">
        <v>299</v>
      </c>
      <c r="AZ3" s="104">
        <v>1640</v>
      </c>
      <c r="BA3" s="104">
        <v>1400</v>
      </c>
      <c r="BB3" s="25">
        <v>0</v>
      </c>
      <c r="BE3" s="171" t="s">
        <v>1534</v>
      </c>
      <c r="BF3" s="171" t="s">
        <v>1535</v>
      </c>
      <c r="BG3" s="25" t="s">
        <v>299</v>
      </c>
      <c r="BH3" s="104">
        <v>410</v>
      </c>
      <c r="BI3" s="104">
        <v>350</v>
      </c>
      <c r="BJ3" s="25">
        <v>1.4999999999999999E-2</v>
      </c>
      <c r="BN3" s="33" t="s">
        <v>1536</v>
      </c>
      <c r="BO3" s="25" t="s">
        <v>1537</v>
      </c>
      <c r="BP3" s="25" t="s">
        <v>77</v>
      </c>
      <c r="BQ3" s="25">
        <v>2572</v>
      </c>
      <c r="BR3" s="25">
        <v>1740</v>
      </c>
      <c r="BS3" s="25">
        <v>0</v>
      </c>
    </row>
    <row r="4" spans="2:71">
      <c r="B4" s="25">
        <v>2</v>
      </c>
      <c r="C4" s="25" t="s">
        <v>1538</v>
      </c>
      <c r="D4" s="25" t="s">
        <v>1539</v>
      </c>
      <c r="H4" s="92" t="s">
        <v>1540</v>
      </c>
      <c r="I4" s="25" t="s">
        <v>1524</v>
      </c>
      <c r="J4" s="33" t="s">
        <v>1541</v>
      </c>
      <c r="K4" s="25" t="s">
        <v>741</v>
      </c>
      <c r="L4" s="323">
        <v>335000</v>
      </c>
      <c r="M4" s="323">
        <v>85410</v>
      </c>
      <c r="N4" s="31">
        <v>0</v>
      </c>
      <c r="P4" s="92" t="s">
        <v>1542</v>
      </c>
      <c r="Q4" s="25" t="s">
        <v>1527</v>
      </c>
      <c r="R4" s="25" t="s">
        <v>1543</v>
      </c>
      <c r="S4" s="25" t="s">
        <v>73</v>
      </c>
      <c r="T4" s="244">
        <v>76000</v>
      </c>
      <c r="U4" s="323">
        <v>29480</v>
      </c>
      <c r="V4" s="31">
        <v>0</v>
      </c>
      <c r="AD4" s="31"/>
      <c r="AF4" s="92" t="s">
        <v>1544</v>
      </c>
      <c r="AG4" s="25" t="s">
        <v>1545</v>
      </c>
      <c r="AH4" s="25" t="s">
        <v>1546</v>
      </c>
      <c r="AI4" s="25" t="s">
        <v>460</v>
      </c>
      <c r="AJ4" s="244">
        <v>188000</v>
      </c>
      <c r="AK4" s="323">
        <v>72120</v>
      </c>
      <c r="AL4" s="31">
        <v>1.5</v>
      </c>
      <c r="AW4" s="25" t="s">
        <v>1532</v>
      </c>
      <c r="AX4" s="25" t="s">
        <v>1547</v>
      </c>
      <c r="AY4" s="25" t="s">
        <v>299</v>
      </c>
      <c r="AZ4" s="104">
        <v>1960</v>
      </c>
      <c r="BA4" s="104">
        <v>1670</v>
      </c>
      <c r="BB4" s="25">
        <v>0</v>
      </c>
      <c r="BE4" s="171" t="s">
        <v>1534</v>
      </c>
      <c r="BF4" s="171" t="s">
        <v>1548</v>
      </c>
      <c r="BG4" s="25" t="s">
        <v>299</v>
      </c>
      <c r="BH4" s="104">
        <v>480</v>
      </c>
      <c r="BI4" s="104">
        <v>410</v>
      </c>
      <c r="BJ4" s="25">
        <v>1.6E-2</v>
      </c>
      <c r="BN4" s="33" t="s">
        <v>1536</v>
      </c>
      <c r="BO4" s="25" t="s">
        <v>1549</v>
      </c>
      <c r="BP4" s="25" t="s">
        <v>77</v>
      </c>
      <c r="BQ4" s="25">
        <v>3669</v>
      </c>
      <c r="BR4" s="25">
        <v>1700</v>
      </c>
      <c r="BS4" s="25">
        <v>0</v>
      </c>
    </row>
    <row r="5" spans="2:71">
      <c r="B5" s="25">
        <v>3</v>
      </c>
      <c r="C5" s="25" t="s">
        <v>1550</v>
      </c>
      <c r="D5" s="25" t="s">
        <v>1551</v>
      </c>
      <c r="H5" s="128" t="s">
        <v>1552</v>
      </c>
      <c r="I5" s="129" t="s">
        <v>1553</v>
      </c>
      <c r="J5" s="129" t="s">
        <v>1554</v>
      </c>
      <c r="K5" s="129" t="s">
        <v>741</v>
      </c>
      <c r="L5" s="323">
        <v>618000</v>
      </c>
      <c r="M5" s="323">
        <v>200360</v>
      </c>
      <c r="N5" s="31">
        <v>0</v>
      </c>
      <c r="P5" s="92" t="s">
        <v>1555</v>
      </c>
      <c r="Q5" s="25" t="s">
        <v>1527</v>
      </c>
      <c r="R5" s="25" t="s">
        <v>1556</v>
      </c>
      <c r="S5" s="25" t="s">
        <v>73</v>
      </c>
      <c r="T5" s="244">
        <v>76000</v>
      </c>
      <c r="U5" s="323">
        <v>29210</v>
      </c>
      <c r="V5" s="31">
        <v>0</v>
      </c>
      <c r="AD5" s="31"/>
      <c r="AF5" s="92" t="s">
        <v>1557</v>
      </c>
      <c r="AG5" s="25" t="s">
        <v>1545</v>
      </c>
      <c r="AH5" s="25" t="s">
        <v>1558</v>
      </c>
      <c r="AI5" s="25" t="s">
        <v>460</v>
      </c>
      <c r="AJ5" s="244">
        <v>186000</v>
      </c>
      <c r="AK5" s="323">
        <v>64250</v>
      </c>
      <c r="AL5" s="31">
        <v>1.5</v>
      </c>
      <c r="AW5" s="25" t="s">
        <v>1532</v>
      </c>
      <c r="AX5" s="25" t="s">
        <v>1559</v>
      </c>
      <c r="AY5" s="25" t="s">
        <v>299</v>
      </c>
      <c r="AZ5" s="104">
        <v>2550</v>
      </c>
      <c r="BA5" s="104">
        <v>2160</v>
      </c>
      <c r="BB5" s="25">
        <v>0</v>
      </c>
      <c r="BE5" s="171" t="s">
        <v>1534</v>
      </c>
      <c r="BF5" s="171" t="s">
        <v>1560</v>
      </c>
      <c r="BG5" s="25" t="s">
        <v>299</v>
      </c>
      <c r="BH5" s="104">
        <v>530</v>
      </c>
      <c r="BI5" s="104">
        <v>450</v>
      </c>
      <c r="BJ5" s="25">
        <v>1.7000000000000001E-2</v>
      </c>
    </row>
    <row r="6" spans="2:71">
      <c r="B6" s="25">
        <v>4</v>
      </c>
      <c r="C6" s="23" t="s">
        <v>402</v>
      </c>
      <c r="I6" s="23" t="s">
        <v>1561</v>
      </c>
      <c r="L6" s="28" t="s">
        <v>936</v>
      </c>
      <c r="P6" s="92" t="s">
        <v>1562</v>
      </c>
      <c r="Q6" s="25" t="s">
        <v>1527</v>
      </c>
      <c r="R6" s="33" t="s">
        <v>1563</v>
      </c>
      <c r="S6" s="25" t="s">
        <v>73</v>
      </c>
      <c r="T6" s="244">
        <v>76000</v>
      </c>
      <c r="U6" s="323">
        <v>25860</v>
      </c>
      <c r="V6" s="31">
        <v>0</v>
      </c>
      <c r="AD6" s="31"/>
      <c r="AF6" s="92" t="s">
        <v>1564</v>
      </c>
      <c r="AG6" s="25" t="s">
        <v>1545</v>
      </c>
      <c r="AH6" s="25" t="s">
        <v>1565</v>
      </c>
      <c r="AI6" s="25" t="s">
        <v>460</v>
      </c>
      <c r="AJ6" s="244">
        <v>236000</v>
      </c>
      <c r="AK6" s="323">
        <v>76890</v>
      </c>
      <c r="AL6" s="31">
        <v>1.5</v>
      </c>
      <c r="AW6" s="25" t="s">
        <v>1532</v>
      </c>
      <c r="AX6" s="25" t="s">
        <v>1566</v>
      </c>
      <c r="AY6" s="25" t="s">
        <v>299</v>
      </c>
      <c r="AZ6" s="104">
        <v>2860</v>
      </c>
      <c r="BA6" s="104">
        <v>2430</v>
      </c>
      <c r="BB6" s="25">
        <v>0</v>
      </c>
      <c r="BE6" s="171" t="s">
        <v>1534</v>
      </c>
      <c r="BF6" s="171" t="s">
        <v>1567</v>
      </c>
      <c r="BG6" s="25" t="s">
        <v>299</v>
      </c>
      <c r="BH6" s="104">
        <v>580</v>
      </c>
      <c r="BI6" s="104">
        <v>500</v>
      </c>
      <c r="BJ6" s="25">
        <v>1.7999999999999999E-2</v>
      </c>
    </row>
    <row r="7" spans="2:71">
      <c r="B7" s="25">
        <v>5</v>
      </c>
      <c r="C7" s="23" t="s">
        <v>402</v>
      </c>
      <c r="H7" s="54" t="s">
        <v>494</v>
      </c>
      <c r="I7" s="25" t="s">
        <v>1568</v>
      </c>
      <c r="J7" s="25" t="s">
        <v>1569</v>
      </c>
      <c r="K7" s="25" t="s">
        <v>947</v>
      </c>
      <c r="L7" s="227">
        <v>101800</v>
      </c>
      <c r="M7" s="326">
        <v>24770</v>
      </c>
      <c r="N7" s="31">
        <v>0</v>
      </c>
      <c r="P7" s="124" t="s">
        <v>1570</v>
      </c>
      <c r="Q7" s="126" t="s">
        <v>1571</v>
      </c>
      <c r="R7" s="126" t="s">
        <v>1572</v>
      </c>
      <c r="S7" s="126" t="s">
        <v>73</v>
      </c>
      <c r="T7" s="244">
        <v>168000</v>
      </c>
      <c r="U7" s="323">
        <v>57280</v>
      </c>
      <c r="V7" s="31">
        <v>0</v>
      </c>
      <c r="AF7" s="92"/>
      <c r="AG7" s="23" t="s">
        <v>1561</v>
      </c>
      <c r="AL7" s="31"/>
      <c r="AW7" s="25" t="s">
        <v>1532</v>
      </c>
      <c r="AX7" s="25" t="s">
        <v>1573</v>
      </c>
      <c r="AY7" s="25" t="s">
        <v>299</v>
      </c>
      <c r="AZ7" s="104">
        <v>4010</v>
      </c>
      <c r="BA7" s="104">
        <v>3410</v>
      </c>
      <c r="BB7" s="25">
        <v>0</v>
      </c>
      <c r="BE7" s="171" t="s">
        <v>1534</v>
      </c>
      <c r="BF7" s="171" t="s">
        <v>1574</v>
      </c>
      <c r="BG7" s="25" t="s">
        <v>299</v>
      </c>
      <c r="BH7" s="104">
        <v>470</v>
      </c>
      <c r="BI7" s="104">
        <v>400</v>
      </c>
      <c r="BJ7" s="25">
        <v>1.7000000000000001E-2</v>
      </c>
    </row>
    <row r="8" spans="2:71">
      <c r="B8" s="25">
        <v>6</v>
      </c>
      <c r="C8" s="23" t="s">
        <v>402</v>
      </c>
      <c r="H8" s="54" t="s">
        <v>1575</v>
      </c>
      <c r="I8" s="25" t="s">
        <v>1576</v>
      </c>
      <c r="J8" s="33" t="s">
        <v>1577</v>
      </c>
      <c r="K8" s="25" t="s">
        <v>77</v>
      </c>
      <c r="L8" s="225">
        <v>56500</v>
      </c>
      <c r="M8" s="323">
        <v>18370</v>
      </c>
      <c r="N8" s="31">
        <v>0</v>
      </c>
      <c r="Q8" s="23" t="s">
        <v>1561</v>
      </c>
      <c r="V8" s="31"/>
      <c r="AF8" s="94" t="s">
        <v>1578</v>
      </c>
      <c r="AG8" s="25" t="s">
        <v>1579</v>
      </c>
      <c r="AH8" s="33" t="s">
        <v>1580</v>
      </c>
      <c r="AI8" s="25" t="s">
        <v>286</v>
      </c>
      <c r="AJ8" s="244">
        <v>151000</v>
      </c>
      <c r="AK8" s="323">
        <v>65020</v>
      </c>
      <c r="AL8" s="31">
        <v>1.5</v>
      </c>
      <c r="AW8" s="25" t="s">
        <v>1532</v>
      </c>
      <c r="AX8" s="25" t="s">
        <v>1581</v>
      </c>
      <c r="AY8" s="25" t="s">
        <v>299</v>
      </c>
      <c r="AZ8" s="104">
        <v>5510</v>
      </c>
      <c r="BA8" s="104">
        <v>4680</v>
      </c>
      <c r="BB8" s="25">
        <v>0</v>
      </c>
      <c r="BE8" s="171" t="s">
        <v>1534</v>
      </c>
      <c r="BF8" s="171" t="s">
        <v>1582</v>
      </c>
      <c r="BG8" s="25" t="s">
        <v>299</v>
      </c>
      <c r="BH8" s="104">
        <v>560</v>
      </c>
      <c r="BI8" s="104">
        <v>470</v>
      </c>
      <c r="BJ8" s="25">
        <v>1.7999999999999999E-2</v>
      </c>
    </row>
    <row r="9" spans="2:71" ht="12.75">
      <c r="B9" s="25">
        <v>7</v>
      </c>
      <c r="C9" s="23" t="s">
        <v>402</v>
      </c>
      <c r="H9" s="54" t="s">
        <v>1583</v>
      </c>
      <c r="I9" s="25" t="s">
        <v>1584</v>
      </c>
      <c r="J9" s="25" t="s">
        <v>1585</v>
      </c>
      <c r="K9" s="25" t="s">
        <v>947</v>
      </c>
      <c r="L9" s="227">
        <v>18100</v>
      </c>
      <c r="M9" s="326">
        <v>2530</v>
      </c>
      <c r="N9" s="31">
        <v>0</v>
      </c>
      <c r="P9" s="94" t="s">
        <v>1586</v>
      </c>
      <c r="Q9" s="33" t="s">
        <v>1587</v>
      </c>
      <c r="R9" s="33" t="s">
        <v>1588</v>
      </c>
      <c r="S9" s="25" t="s">
        <v>73</v>
      </c>
      <c r="T9" s="250">
        <v>96000</v>
      </c>
      <c r="U9" s="335">
        <v>62060</v>
      </c>
      <c r="V9" s="31">
        <v>0</v>
      </c>
      <c r="AF9" s="94" t="s">
        <v>1589</v>
      </c>
      <c r="AG9" s="25" t="s">
        <v>1579</v>
      </c>
      <c r="AH9" s="33" t="s">
        <v>1590</v>
      </c>
      <c r="AI9" s="25" t="s">
        <v>286</v>
      </c>
      <c r="AJ9" s="244">
        <v>151000</v>
      </c>
      <c r="AK9" s="323">
        <v>64380</v>
      </c>
      <c r="AL9" s="31">
        <v>1.5</v>
      </c>
      <c r="AW9" s="25" t="s">
        <v>1532</v>
      </c>
      <c r="AX9" s="25" t="s">
        <v>1591</v>
      </c>
      <c r="AY9" s="25" t="s">
        <v>299</v>
      </c>
      <c r="AZ9" s="104">
        <v>6510</v>
      </c>
      <c r="BA9" s="104">
        <v>5540</v>
      </c>
      <c r="BB9" s="25">
        <v>0</v>
      </c>
      <c r="BE9" s="171" t="s">
        <v>1534</v>
      </c>
      <c r="BF9" s="171" t="s">
        <v>1592</v>
      </c>
      <c r="BG9" s="25" t="s">
        <v>299</v>
      </c>
      <c r="BH9" s="104">
        <v>620</v>
      </c>
      <c r="BI9" s="104">
        <v>520</v>
      </c>
      <c r="BJ9" s="25">
        <v>1.9E-2</v>
      </c>
    </row>
    <row r="10" spans="2:71" ht="12.75">
      <c r="B10" s="25">
        <v>8</v>
      </c>
      <c r="C10" s="25" t="s">
        <v>1593</v>
      </c>
      <c r="D10" s="171" t="s">
        <v>1594</v>
      </c>
      <c r="H10" s="188" t="s">
        <v>1595</v>
      </c>
      <c r="I10" s="186" t="s">
        <v>1596</v>
      </c>
      <c r="J10" s="186" t="s">
        <v>1597</v>
      </c>
      <c r="K10" s="186" t="s">
        <v>77</v>
      </c>
      <c r="L10" s="326">
        <v>27300</v>
      </c>
      <c r="M10" s="326">
        <v>11300</v>
      </c>
      <c r="N10" s="31">
        <v>0</v>
      </c>
      <c r="P10" s="94" t="s">
        <v>1598</v>
      </c>
      <c r="Q10" s="67" t="s">
        <v>1587</v>
      </c>
      <c r="R10" s="67" t="s">
        <v>1599</v>
      </c>
      <c r="S10" s="67" t="s">
        <v>73</v>
      </c>
      <c r="T10" s="247">
        <v>155000</v>
      </c>
      <c r="U10" s="326">
        <v>89490</v>
      </c>
      <c r="V10" s="69">
        <v>0</v>
      </c>
      <c r="AF10" s="94" t="s">
        <v>1600</v>
      </c>
      <c r="AG10" s="25" t="s">
        <v>1579</v>
      </c>
      <c r="AH10" s="33" t="s">
        <v>1601</v>
      </c>
      <c r="AI10" s="25" t="s">
        <v>286</v>
      </c>
      <c r="AJ10" s="244">
        <v>151000</v>
      </c>
      <c r="AK10" s="323">
        <v>69150</v>
      </c>
      <c r="AL10" s="31">
        <v>1.5</v>
      </c>
      <c r="AW10" s="25" t="s">
        <v>1602</v>
      </c>
      <c r="AX10" s="25">
        <v>16</v>
      </c>
      <c r="AY10" s="25" t="s">
        <v>299</v>
      </c>
      <c r="AZ10" s="104">
        <v>1500</v>
      </c>
      <c r="BA10" s="104">
        <v>1280</v>
      </c>
      <c r="BB10" s="25">
        <v>0</v>
      </c>
      <c r="BE10" s="171" t="s">
        <v>1534</v>
      </c>
      <c r="BF10" s="171" t="s">
        <v>1603</v>
      </c>
      <c r="BG10" s="25" t="s">
        <v>299</v>
      </c>
      <c r="BH10" s="104">
        <v>680</v>
      </c>
      <c r="BI10" s="104">
        <v>580</v>
      </c>
      <c r="BJ10" s="25">
        <v>0.02</v>
      </c>
    </row>
    <row r="11" spans="2:71" ht="12.75">
      <c r="B11" s="25">
        <v>9</v>
      </c>
      <c r="C11" s="25" t="s">
        <v>1604</v>
      </c>
      <c r="D11" s="171" t="s">
        <v>1605</v>
      </c>
      <c r="H11" s="70" t="s">
        <v>1606</v>
      </c>
      <c r="I11" s="67" t="s">
        <v>1607</v>
      </c>
      <c r="J11" s="67" t="s">
        <v>1608</v>
      </c>
      <c r="K11" s="67" t="s">
        <v>77</v>
      </c>
      <c r="L11" s="225">
        <v>66800</v>
      </c>
      <c r="M11" s="335">
        <v>27430</v>
      </c>
      <c r="N11" s="31">
        <v>0</v>
      </c>
      <c r="Q11" s="23" t="s">
        <v>1561</v>
      </c>
      <c r="V11" s="31">
        <v>0</v>
      </c>
      <c r="AF11" s="94" t="s">
        <v>1609</v>
      </c>
      <c r="AG11" s="25" t="s">
        <v>1579</v>
      </c>
      <c r="AH11" s="33" t="s">
        <v>1610</v>
      </c>
      <c r="AI11" s="25" t="s">
        <v>286</v>
      </c>
      <c r="AJ11" s="244">
        <v>155000</v>
      </c>
      <c r="AK11" s="323">
        <v>63220</v>
      </c>
      <c r="AL11" s="31">
        <v>1.5</v>
      </c>
      <c r="AW11" s="25" t="s">
        <v>1602</v>
      </c>
      <c r="AX11" s="25">
        <v>22</v>
      </c>
      <c r="AY11" s="25" t="s">
        <v>299</v>
      </c>
      <c r="AZ11" s="104">
        <v>2000</v>
      </c>
      <c r="BA11" s="104">
        <v>1700</v>
      </c>
      <c r="BB11" s="25">
        <v>0</v>
      </c>
      <c r="BE11" s="23" t="s">
        <v>1561</v>
      </c>
    </row>
    <row r="12" spans="2:71">
      <c r="B12" s="25">
        <v>10</v>
      </c>
      <c r="C12" s="25" t="s">
        <v>1611</v>
      </c>
      <c r="D12" s="171" t="s">
        <v>1612</v>
      </c>
      <c r="H12" s="54" t="s">
        <v>1613</v>
      </c>
      <c r="I12" s="25" t="s">
        <v>1614</v>
      </c>
      <c r="J12" s="25" t="s">
        <v>1615</v>
      </c>
      <c r="K12" s="25" t="s">
        <v>947</v>
      </c>
      <c r="L12" s="225">
        <v>26000</v>
      </c>
      <c r="M12" s="323">
        <v>11070</v>
      </c>
      <c r="N12" s="31">
        <v>0</v>
      </c>
      <c r="P12" s="54" t="s">
        <v>1616</v>
      </c>
      <c r="Q12" s="33" t="s">
        <v>1617</v>
      </c>
      <c r="R12" s="25" t="s">
        <v>1618</v>
      </c>
      <c r="S12" s="25" t="s">
        <v>77</v>
      </c>
      <c r="T12" s="227">
        <v>22100</v>
      </c>
      <c r="U12" s="326">
        <v>4590</v>
      </c>
      <c r="AL12" s="31"/>
      <c r="AW12" s="25" t="s">
        <v>1602</v>
      </c>
      <c r="AX12" s="25">
        <v>28</v>
      </c>
      <c r="AY12" s="25" t="s">
        <v>299</v>
      </c>
      <c r="AZ12" s="104">
        <v>2610</v>
      </c>
      <c r="BA12" s="104">
        <v>2210</v>
      </c>
      <c r="BB12" s="25">
        <v>0</v>
      </c>
      <c r="BE12" s="25" t="s">
        <v>1619</v>
      </c>
      <c r="BF12" s="25" t="s">
        <v>1582</v>
      </c>
      <c r="BG12" s="25" t="s">
        <v>299</v>
      </c>
      <c r="BH12" s="104">
        <v>440</v>
      </c>
      <c r="BI12" s="104">
        <v>380</v>
      </c>
      <c r="BJ12" s="25">
        <v>1.4999999999999999E-2</v>
      </c>
    </row>
    <row r="13" spans="2:71">
      <c r="B13" s="25">
        <v>11</v>
      </c>
      <c r="H13" s="54" t="s">
        <v>1620</v>
      </c>
      <c r="I13" s="25" t="s">
        <v>1621</v>
      </c>
      <c r="J13" s="33" t="s">
        <v>1622</v>
      </c>
      <c r="K13" s="25" t="s">
        <v>77</v>
      </c>
      <c r="L13" s="323">
        <v>32400</v>
      </c>
      <c r="M13" s="326">
        <v>10060</v>
      </c>
      <c r="N13" s="31">
        <v>0</v>
      </c>
      <c r="Q13" s="23" t="s">
        <v>1561</v>
      </c>
      <c r="V13" s="31">
        <v>0</v>
      </c>
      <c r="AL13" s="31"/>
      <c r="AW13" s="25" t="s">
        <v>1602</v>
      </c>
      <c r="AX13" s="25">
        <v>36</v>
      </c>
      <c r="AY13" s="25" t="s">
        <v>299</v>
      </c>
      <c r="AZ13" s="104">
        <v>3140</v>
      </c>
      <c r="BA13" s="104">
        <v>2670</v>
      </c>
      <c r="BB13" s="25">
        <v>0</v>
      </c>
      <c r="BE13" s="25" t="s">
        <v>1619</v>
      </c>
      <c r="BF13" s="25" t="s">
        <v>1623</v>
      </c>
      <c r="BG13" s="25" t="s">
        <v>299</v>
      </c>
      <c r="BH13" s="104">
        <v>510</v>
      </c>
      <c r="BI13" s="104">
        <v>440</v>
      </c>
      <c r="BJ13" s="25">
        <v>1.7000000000000001E-2</v>
      </c>
    </row>
    <row r="14" spans="2:71">
      <c r="H14" s="54" t="s">
        <v>1624</v>
      </c>
      <c r="I14" s="39" t="s">
        <v>1625</v>
      </c>
      <c r="J14" s="39" t="s">
        <v>1626</v>
      </c>
      <c r="K14" s="39" t="s">
        <v>77</v>
      </c>
      <c r="L14" s="225">
        <v>5220</v>
      </c>
      <c r="M14" s="227">
        <v>730</v>
      </c>
      <c r="N14" s="31">
        <v>0</v>
      </c>
      <c r="P14" s="92" t="s">
        <v>1627</v>
      </c>
      <c r="Q14" s="25" t="s">
        <v>1628</v>
      </c>
      <c r="R14" s="25" t="s">
        <v>1629</v>
      </c>
      <c r="S14" s="25" t="s">
        <v>77</v>
      </c>
      <c r="T14" s="244">
        <v>21000</v>
      </c>
      <c r="U14" s="323">
        <v>4900</v>
      </c>
      <c r="AL14" s="31"/>
      <c r="AW14" s="25" t="s">
        <v>1602</v>
      </c>
      <c r="AX14" s="25">
        <v>42</v>
      </c>
      <c r="AY14" s="25" t="s">
        <v>299</v>
      </c>
      <c r="AZ14" s="104">
        <v>4110</v>
      </c>
      <c r="BA14" s="104">
        <v>3500</v>
      </c>
      <c r="BB14" s="25">
        <v>0</v>
      </c>
      <c r="BE14" s="25" t="s">
        <v>1619</v>
      </c>
      <c r="BF14" s="25" t="s">
        <v>1630</v>
      </c>
      <c r="BG14" s="25" t="s">
        <v>299</v>
      </c>
      <c r="BH14" s="104">
        <v>590</v>
      </c>
      <c r="BI14" s="104">
        <v>510</v>
      </c>
      <c r="BJ14" s="25">
        <v>1.9E-2</v>
      </c>
    </row>
    <row r="15" spans="2:71">
      <c r="H15" s="54" t="s">
        <v>1631</v>
      </c>
      <c r="I15" s="67" t="s">
        <v>1632</v>
      </c>
      <c r="J15" s="39" t="s">
        <v>1633</v>
      </c>
      <c r="K15" s="39" t="s">
        <v>77</v>
      </c>
      <c r="L15" s="225">
        <v>10500</v>
      </c>
      <c r="M15" s="227">
        <v>1040</v>
      </c>
      <c r="N15" s="31">
        <v>0</v>
      </c>
      <c r="Q15" s="23" t="s">
        <v>1561</v>
      </c>
      <c r="V15" s="31">
        <v>0</v>
      </c>
      <c r="AL15" s="31"/>
      <c r="AW15" s="25" t="s">
        <v>1602</v>
      </c>
      <c r="AX15" s="25">
        <v>54</v>
      </c>
      <c r="AY15" s="25" t="s">
        <v>299</v>
      </c>
      <c r="AZ15" s="104">
        <v>5550</v>
      </c>
      <c r="BA15" s="104">
        <v>4720</v>
      </c>
      <c r="BB15" s="25">
        <v>0</v>
      </c>
      <c r="BE15" s="25" t="s">
        <v>1619</v>
      </c>
      <c r="BF15" s="25" t="s">
        <v>1634</v>
      </c>
      <c r="BG15" s="25" t="s">
        <v>299</v>
      </c>
      <c r="BH15" s="104">
        <v>750</v>
      </c>
      <c r="BI15" s="104">
        <v>640</v>
      </c>
      <c r="BJ15" s="25">
        <v>2.5000000000000001E-2</v>
      </c>
    </row>
    <row r="16" spans="2:71">
      <c r="H16" s="188" t="s">
        <v>1635</v>
      </c>
      <c r="I16" s="186" t="s">
        <v>1636</v>
      </c>
      <c r="J16" s="186" t="s">
        <v>1637</v>
      </c>
      <c r="K16" s="186" t="s">
        <v>77</v>
      </c>
      <c r="L16" s="245">
        <v>112600</v>
      </c>
      <c r="M16" s="326">
        <v>38520</v>
      </c>
      <c r="N16" s="31">
        <v>0</v>
      </c>
      <c r="P16" s="92" t="s">
        <v>1638</v>
      </c>
      <c r="Q16" s="25" t="s">
        <v>1639</v>
      </c>
      <c r="R16" s="25" t="s">
        <v>1640</v>
      </c>
      <c r="S16" s="25" t="s">
        <v>73</v>
      </c>
      <c r="T16" s="244">
        <v>95000</v>
      </c>
      <c r="U16" s="323">
        <v>35610</v>
      </c>
      <c r="V16" s="31">
        <v>0</v>
      </c>
      <c r="BE16" s="25" t="s">
        <v>1619</v>
      </c>
      <c r="BF16" s="25" t="s">
        <v>1641</v>
      </c>
      <c r="BG16" s="25" t="s">
        <v>299</v>
      </c>
      <c r="BH16" s="104">
        <v>770</v>
      </c>
      <c r="BI16" s="104">
        <v>650</v>
      </c>
      <c r="BJ16" s="25">
        <v>2.5000000000000001E-2</v>
      </c>
    </row>
    <row r="17" spans="2:62">
      <c r="H17" s="188" t="s">
        <v>1642</v>
      </c>
      <c r="I17" s="186" t="s">
        <v>1643</v>
      </c>
      <c r="J17" s="186" t="s">
        <v>1644</v>
      </c>
      <c r="K17" s="186" t="s">
        <v>77</v>
      </c>
      <c r="L17" s="245">
        <v>281100</v>
      </c>
      <c r="M17" s="326">
        <v>68490</v>
      </c>
      <c r="N17" s="31">
        <v>0</v>
      </c>
      <c r="Q17" s="23" t="s">
        <v>1561</v>
      </c>
      <c r="BE17" s="25" t="s">
        <v>1619</v>
      </c>
      <c r="BF17" s="25" t="s">
        <v>1645</v>
      </c>
      <c r="BG17" s="25" t="s">
        <v>299</v>
      </c>
      <c r="BH17" s="104">
        <v>920</v>
      </c>
      <c r="BI17" s="104">
        <v>780</v>
      </c>
      <c r="BJ17" s="25">
        <v>0.03</v>
      </c>
    </row>
    <row r="18" spans="2:62">
      <c r="H18" s="54" t="s">
        <v>1646</v>
      </c>
      <c r="I18" s="39" t="s">
        <v>1647</v>
      </c>
      <c r="J18" s="39" t="s">
        <v>1648</v>
      </c>
      <c r="K18" s="39" t="s">
        <v>77</v>
      </c>
      <c r="L18" s="225">
        <v>303000</v>
      </c>
      <c r="M18" s="326">
        <v>54800</v>
      </c>
      <c r="N18" s="31">
        <v>0</v>
      </c>
      <c r="P18" s="54" t="s">
        <v>1649</v>
      </c>
      <c r="Q18" s="25" t="s">
        <v>1650</v>
      </c>
      <c r="R18" s="25" t="s">
        <v>1651</v>
      </c>
      <c r="S18" s="25" t="s">
        <v>947</v>
      </c>
      <c r="T18" s="326">
        <v>20100</v>
      </c>
      <c r="U18" s="326">
        <v>5580</v>
      </c>
      <c r="V18" s="31">
        <v>0</v>
      </c>
      <c r="BE18" s="25" t="s">
        <v>1619</v>
      </c>
      <c r="BF18" s="25" t="s">
        <v>1652</v>
      </c>
      <c r="BG18" s="25" t="s">
        <v>299</v>
      </c>
      <c r="BH18" s="104">
        <v>940</v>
      </c>
      <c r="BI18" s="104">
        <v>800</v>
      </c>
      <c r="BJ18" s="25">
        <v>0.03</v>
      </c>
    </row>
    <row r="19" spans="2:62">
      <c r="H19" s="54" t="s">
        <v>1653</v>
      </c>
      <c r="I19" s="39" t="s">
        <v>1654</v>
      </c>
      <c r="J19" s="39" t="s">
        <v>1655</v>
      </c>
      <c r="K19" s="39" t="s">
        <v>77</v>
      </c>
      <c r="L19" s="225">
        <v>461000</v>
      </c>
      <c r="M19" s="326">
        <v>91480</v>
      </c>
      <c r="N19" s="31">
        <v>0</v>
      </c>
      <c r="P19" s="54" t="s">
        <v>1656</v>
      </c>
      <c r="Q19" s="67" t="s">
        <v>1657</v>
      </c>
      <c r="R19" s="67" t="s">
        <v>1658</v>
      </c>
      <c r="S19" s="67" t="s">
        <v>947</v>
      </c>
      <c r="T19" s="227">
        <v>85800</v>
      </c>
      <c r="U19" s="326">
        <v>31120</v>
      </c>
      <c r="V19" s="69">
        <v>0</v>
      </c>
      <c r="BE19" s="25" t="s">
        <v>1619</v>
      </c>
      <c r="BF19" s="25" t="s">
        <v>1659</v>
      </c>
      <c r="BG19" s="25" t="s">
        <v>299</v>
      </c>
      <c r="BH19" s="104">
        <v>990</v>
      </c>
      <c r="BI19" s="104">
        <v>840</v>
      </c>
      <c r="BJ19" s="25">
        <v>0.03</v>
      </c>
    </row>
    <row r="20" spans="2:62">
      <c r="I20" s="23" t="s">
        <v>1660</v>
      </c>
      <c r="N20" s="31"/>
      <c r="Q20" s="23" t="s">
        <v>1561</v>
      </c>
      <c r="V20" s="31">
        <v>0</v>
      </c>
      <c r="BE20" s="23" t="s">
        <v>1561</v>
      </c>
    </row>
    <row r="21" spans="2:62">
      <c r="H21" s="54" t="str">
        <f t="shared" ref="H21:N21" si="0">H27</f>
        <v>024322000</v>
      </c>
      <c r="I21" s="54" t="str">
        <f t="shared" si="0"/>
        <v>変換ｺﾈｸﾀB</v>
      </c>
      <c r="J21" s="54" t="str">
        <f t="shared" si="0"/>
        <v>湿度用</v>
      </c>
      <c r="K21" s="54" t="str">
        <f t="shared" si="0"/>
        <v>個</v>
      </c>
      <c r="L21" s="232">
        <f t="shared" si="0"/>
        <v>1620</v>
      </c>
      <c r="M21" s="232">
        <f t="shared" si="0"/>
        <v>250</v>
      </c>
      <c r="N21" s="199">
        <f t="shared" si="0"/>
        <v>0</v>
      </c>
      <c r="P21" s="54" t="s">
        <v>1661</v>
      </c>
      <c r="Q21" s="25" t="s">
        <v>1662</v>
      </c>
      <c r="R21" s="25" t="s">
        <v>1663</v>
      </c>
      <c r="S21" s="25" t="s">
        <v>741</v>
      </c>
      <c r="T21" s="227">
        <v>63800</v>
      </c>
      <c r="U21" s="326">
        <v>11730</v>
      </c>
      <c r="V21" s="31">
        <v>0</v>
      </c>
      <c r="BE21" s="25" t="s">
        <v>1664</v>
      </c>
      <c r="BF21" s="25" t="s">
        <v>1582</v>
      </c>
      <c r="BG21" s="25" t="s">
        <v>299</v>
      </c>
      <c r="BH21" s="104">
        <v>520</v>
      </c>
      <c r="BI21" s="104">
        <v>450</v>
      </c>
      <c r="BJ21" s="25">
        <v>0.02</v>
      </c>
    </row>
    <row r="22" spans="2:62">
      <c r="H22" s="54" t="str">
        <f>H29</f>
        <v>024326000</v>
      </c>
      <c r="I22" s="54" t="str">
        <f t="shared" ref="I22:N23" si="1">I29</f>
        <v>変換ｺﾈｸﾀD</v>
      </c>
      <c r="J22" s="54" t="str">
        <f t="shared" si="1"/>
        <v>風速用</v>
      </c>
      <c r="K22" s="54" t="str">
        <f t="shared" si="1"/>
        <v>個</v>
      </c>
      <c r="L22" s="232">
        <f t="shared" si="1"/>
        <v>1620</v>
      </c>
      <c r="M22" s="232">
        <f t="shared" si="1"/>
        <v>150</v>
      </c>
      <c r="N22" s="199">
        <f t="shared" si="1"/>
        <v>0</v>
      </c>
      <c r="P22" s="54" t="s">
        <v>1665</v>
      </c>
      <c r="Q22" s="25" t="s">
        <v>1662</v>
      </c>
      <c r="R22" s="25" t="s">
        <v>1666</v>
      </c>
      <c r="S22" s="25" t="s">
        <v>741</v>
      </c>
      <c r="T22" s="245">
        <v>66800</v>
      </c>
      <c r="U22" s="326">
        <v>11810</v>
      </c>
      <c r="V22" s="31">
        <v>0</v>
      </c>
      <c r="BE22" s="25" t="s">
        <v>1664</v>
      </c>
      <c r="BF22" s="25" t="s">
        <v>1623</v>
      </c>
      <c r="BG22" s="25" t="s">
        <v>299</v>
      </c>
      <c r="BH22" s="104">
        <v>580</v>
      </c>
      <c r="BI22" s="104">
        <v>500</v>
      </c>
      <c r="BJ22" s="25">
        <v>2.3E-2</v>
      </c>
    </row>
    <row r="23" spans="2:62">
      <c r="H23" s="54" t="str">
        <f>H30</f>
        <v>024332000</v>
      </c>
      <c r="I23" s="54" t="str">
        <f t="shared" si="1"/>
        <v>変換ｺﾈｸﾀE</v>
      </c>
      <c r="J23" s="54" t="str">
        <f t="shared" si="1"/>
        <v>風向風速用</v>
      </c>
      <c r="K23" s="54" t="str">
        <f t="shared" si="1"/>
        <v>個</v>
      </c>
      <c r="L23" s="232">
        <f t="shared" si="1"/>
        <v>4370</v>
      </c>
      <c r="M23" s="336">
        <v>1490</v>
      </c>
      <c r="N23" s="199">
        <f t="shared" si="1"/>
        <v>0</v>
      </c>
      <c r="BE23" s="25" t="s">
        <v>1664</v>
      </c>
      <c r="BF23" s="25" t="s">
        <v>1630</v>
      </c>
      <c r="BG23" s="25" t="s">
        <v>299</v>
      </c>
      <c r="BH23" s="104">
        <v>690</v>
      </c>
      <c r="BI23" s="104">
        <v>580</v>
      </c>
      <c r="BJ23" s="25">
        <v>2.5999999999999999E-2</v>
      </c>
    </row>
    <row r="24" spans="2:62">
      <c r="H24" s="192" t="s">
        <v>1667</v>
      </c>
      <c r="I24" s="192" t="s">
        <v>1668</v>
      </c>
      <c r="J24" s="192" t="s">
        <v>1669</v>
      </c>
      <c r="K24" s="192" t="s">
        <v>77</v>
      </c>
      <c r="L24" s="232">
        <v>4850</v>
      </c>
      <c r="M24" s="336">
        <v>1360</v>
      </c>
      <c r="N24" s="195">
        <v>0</v>
      </c>
      <c r="BE24" s="25" t="s">
        <v>1664</v>
      </c>
      <c r="BF24" s="25" t="s">
        <v>1634</v>
      </c>
      <c r="BG24" s="25" t="s">
        <v>299</v>
      </c>
      <c r="BH24" s="104">
        <v>870</v>
      </c>
      <c r="BI24" s="104">
        <v>740</v>
      </c>
      <c r="BJ24" s="25">
        <v>3.4000000000000002E-2</v>
      </c>
    </row>
    <row r="25" spans="2:62">
      <c r="I25" s="23" t="s">
        <v>1670</v>
      </c>
      <c r="BE25" s="25" t="s">
        <v>1664</v>
      </c>
      <c r="BF25" s="25" t="s">
        <v>1641</v>
      </c>
      <c r="BG25" s="25" t="s">
        <v>299</v>
      </c>
      <c r="BH25" s="104">
        <v>890</v>
      </c>
      <c r="BI25" s="104">
        <v>760</v>
      </c>
      <c r="BJ25" s="25">
        <v>3.4000000000000002E-2</v>
      </c>
    </row>
    <row r="26" spans="2:62">
      <c r="C26" s="25" t="s">
        <v>1133</v>
      </c>
      <c r="D26" s="26"/>
      <c r="H26" s="54" t="s">
        <v>1671</v>
      </c>
      <c r="I26" s="49" t="s">
        <v>1672</v>
      </c>
      <c r="J26" s="39" t="s">
        <v>1673</v>
      </c>
      <c r="K26" s="39" t="s">
        <v>77</v>
      </c>
      <c r="L26" s="225">
        <v>1620</v>
      </c>
      <c r="M26" s="227">
        <v>230</v>
      </c>
      <c r="N26" s="31">
        <v>0</v>
      </c>
      <c r="BE26" s="25" t="s">
        <v>1664</v>
      </c>
      <c r="BF26" s="25" t="s">
        <v>1645</v>
      </c>
      <c r="BG26" s="25" t="s">
        <v>299</v>
      </c>
      <c r="BH26" s="104">
        <v>1060</v>
      </c>
      <c r="BI26" s="104">
        <v>900</v>
      </c>
      <c r="BJ26" s="25">
        <v>4.1000000000000002E-2</v>
      </c>
    </row>
    <row r="27" spans="2:62">
      <c r="B27" s="23"/>
      <c r="C27" s="47" t="s">
        <v>1170</v>
      </c>
      <c r="D27" s="26"/>
      <c r="H27" s="54" t="s">
        <v>1674</v>
      </c>
      <c r="I27" s="49" t="s">
        <v>1675</v>
      </c>
      <c r="J27" s="39" t="s">
        <v>1676</v>
      </c>
      <c r="K27" s="39" t="s">
        <v>77</v>
      </c>
      <c r="L27" s="225">
        <v>1620</v>
      </c>
      <c r="M27" s="227">
        <v>250</v>
      </c>
      <c r="N27" s="31">
        <v>0</v>
      </c>
      <c r="BE27" s="25" t="s">
        <v>1664</v>
      </c>
      <c r="BF27" s="25" t="s">
        <v>1652</v>
      </c>
      <c r="BG27" s="25" t="s">
        <v>299</v>
      </c>
      <c r="BH27" s="104">
        <v>1080</v>
      </c>
      <c r="BI27" s="104">
        <v>930</v>
      </c>
      <c r="BJ27" s="25">
        <v>4.1000000000000002E-2</v>
      </c>
    </row>
    <row r="28" spans="2:62">
      <c r="B28" s="23"/>
      <c r="C28" s="48" t="s">
        <v>1181</v>
      </c>
      <c r="H28" s="54" t="s">
        <v>1677</v>
      </c>
      <c r="I28" s="49" t="s">
        <v>1678</v>
      </c>
      <c r="J28" s="39" t="s">
        <v>1679</v>
      </c>
      <c r="K28" s="39" t="s">
        <v>77</v>
      </c>
      <c r="L28" s="225">
        <v>1620</v>
      </c>
      <c r="M28" s="227">
        <v>270</v>
      </c>
      <c r="N28" s="31">
        <v>0</v>
      </c>
      <c r="BE28" s="25" t="s">
        <v>1664</v>
      </c>
      <c r="BF28" s="25" t="s">
        <v>1659</v>
      </c>
      <c r="BG28" s="25" t="s">
        <v>299</v>
      </c>
      <c r="BH28" s="104">
        <v>1320</v>
      </c>
      <c r="BI28" s="104">
        <v>1130</v>
      </c>
      <c r="BJ28" s="25">
        <v>0.05</v>
      </c>
    </row>
    <row r="29" spans="2:62">
      <c r="B29" s="23"/>
      <c r="C29" s="49" t="s">
        <v>1680</v>
      </c>
      <c r="H29" s="54" t="s">
        <v>1681</v>
      </c>
      <c r="I29" s="49" t="s">
        <v>1682</v>
      </c>
      <c r="J29" s="39" t="s">
        <v>1683</v>
      </c>
      <c r="K29" s="39" t="s">
        <v>77</v>
      </c>
      <c r="L29" s="225">
        <v>1620</v>
      </c>
      <c r="M29" s="227">
        <v>150</v>
      </c>
      <c r="N29" s="31">
        <v>0</v>
      </c>
      <c r="BE29" s="23" t="s">
        <v>1561</v>
      </c>
    </row>
    <row r="30" spans="2:62">
      <c r="B30" s="23"/>
      <c r="C30" s="67" t="s">
        <v>1684</v>
      </c>
      <c r="H30" s="54" t="s">
        <v>1685</v>
      </c>
      <c r="I30" s="49" t="s">
        <v>1686</v>
      </c>
      <c r="J30" s="39" t="s">
        <v>1687</v>
      </c>
      <c r="K30" s="39" t="s">
        <v>77</v>
      </c>
      <c r="L30" s="225">
        <v>4370</v>
      </c>
      <c r="M30" s="323">
        <v>1490</v>
      </c>
      <c r="N30" s="31">
        <v>0</v>
      </c>
      <c r="BE30" s="25" t="s">
        <v>1664</v>
      </c>
      <c r="BF30" s="25" t="s">
        <v>1688</v>
      </c>
      <c r="BG30" s="25" t="s">
        <v>93</v>
      </c>
      <c r="BH30" s="104">
        <v>780</v>
      </c>
      <c r="BI30" s="104">
        <v>660</v>
      </c>
      <c r="BJ30" s="25">
        <v>0.02</v>
      </c>
    </row>
    <row r="31" spans="2:62">
      <c r="C31" s="91" t="s">
        <v>1689</v>
      </c>
      <c r="H31" s="188" t="s">
        <v>1690</v>
      </c>
      <c r="I31" s="190" t="s">
        <v>1691</v>
      </c>
      <c r="J31" s="186" t="s">
        <v>1692</v>
      </c>
      <c r="K31" s="186" t="s">
        <v>77</v>
      </c>
      <c r="L31" s="244">
        <v>7280</v>
      </c>
      <c r="M31" s="225">
        <v>1250</v>
      </c>
      <c r="N31" s="31">
        <v>0</v>
      </c>
      <c r="AM31" s="25" t="s">
        <v>1146</v>
      </c>
      <c r="BE31" s="25" t="s">
        <v>1664</v>
      </c>
      <c r="BF31" s="25" t="s">
        <v>1693</v>
      </c>
      <c r="BG31" s="25" t="s">
        <v>93</v>
      </c>
      <c r="BH31" s="104">
        <v>960</v>
      </c>
      <c r="BI31" s="104">
        <v>820</v>
      </c>
      <c r="BJ31" s="25">
        <v>2.4E-2</v>
      </c>
    </row>
    <row r="32" spans="2:62">
      <c r="C32" s="115" t="s">
        <v>1694</v>
      </c>
      <c r="I32" s="23" t="s">
        <v>1561</v>
      </c>
      <c r="V32" s="31"/>
      <c r="BE32" s="25" t="s">
        <v>1664</v>
      </c>
      <c r="BF32" s="25" t="s">
        <v>1695</v>
      </c>
      <c r="BG32" s="25" t="s">
        <v>93</v>
      </c>
      <c r="BH32" s="104">
        <v>1220</v>
      </c>
      <c r="BI32" s="104">
        <v>1040</v>
      </c>
      <c r="BJ32" s="25">
        <v>0.03</v>
      </c>
    </row>
    <row r="33" spans="3:64">
      <c r="C33" s="172" t="s">
        <v>1696</v>
      </c>
      <c r="H33" s="54" t="s">
        <v>1697</v>
      </c>
      <c r="I33" s="25" t="s">
        <v>1698</v>
      </c>
      <c r="J33" s="25" t="s">
        <v>1699</v>
      </c>
      <c r="K33" s="25" t="s">
        <v>53</v>
      </c>
      <c r="L33" s="326">
        <v>1043000</v>
      </c>
      <c r="M33" s="326">
        <v>161030</v>
      </c>
      <c r="N33" s="31">
        <v>0</v>
      </c>
      <c r="V33" s="31"/>
      <c r="BE33" s="25" t="s">
        <v>1664</v>
      </c>
      <c r="BF33" s="25" t="s">
        <v>1700</v>
      </c>
      <c r="BG33" s="25" t="s">
        <v>93</v>
      </c>
      <c r="BH33" s="104">
        <v>1400</v>
      </c>
      <c r="BI33" s="104">
        <v>1190</v>
      </c>
      <c r="BJ33" s="25">
        <v>3.5000000000000003E-2</v>
      </c>
    </row>
    <row r="34" spans="3:64">
      <c r="C34" s="186" t="s">
        <v>1701</v>
      </c>
      <c r="F34" s="26"/>
      <c r="G34" s="26"/>
      <c r="H34" s="54" t="s">
        <v>1702</v>
      </c>
      <c r="I34" s="25" t="s">
        <v>1703</v>
      </c>
      <c r="J34" s="25" t="s">
        <v>1704</v>
      </c>
      <c r="K34" s="25" t="s">
        <v>53</v>
      </c>
      <c r="L34" s="245">
        <v>600000</v>
      </c>
      <c r="M34" s="326">
        <v>104390</v>
      </c>
      <c r="N34" s="31">
        <v>0</v>
      </c>
      <c r="BE34" s="23" t="s">
        <v>1561</v>
      </c>
    </row>
    <row r="35" spans="3:64">
      <c r="C35" s="32" t="s">
        <v>1705</v>
      </c>
      <c r="H35" s="328" t="s">
        <v>1706</v>
      </c>
      <c r="I35" s="25" t="s">
        <v>1707</v>
      </c>
      <c r="J35" s="25" t="s">
        <v>1708</v>
      </c>
      <c r="K35" s="25" t="s">
        <v>53</v>
      </c>
      <c r="L35" s="326">
        <v>100400</v>
      </c>
      <c r="M35" s="326">
        <v>22490</v>
      </c>
      <c r="N35" s="31">
        <v>0</v>
      </c>
      <c r="BE35" s="25" t="s">
        <v>1619</v>
      </c>
      <c r="BF35" s="25" t="s">
        <v>1688</v>
      </c>
      <c r="BG35" s="25" t="s">
        <v>93</v>
      </c>
      <c r="BH35" s="104">
        <v>720</v>
      </c>
      <c r="BI35" s="104">
        <v>620</v>
      </c>
      <c r="BJ35" s="25">
        <v>2.4E-2</v>
      </c>
    </row>
    <row r="36" spans="3:64">
      <c r="C36" s="210" t="s">
        <v>1262</v>
      </c>
      <c r="H36" s="54" t="s">
        <v>1709</v>
      </c>
      <c r="I36" s="25" t="s">
        <v>1710</v>
      </c>
      <c r="J36" s="25" t="s">
        <v>1711</v>
      </c>
      <c r="K36" s="25" t="s">
        <v>53</v>
      </c>
      <c r="L36" s="245">
        <v>530100</v>
      </c>
      <c r="M36" s="326">
        <v>93590</v>
      </c>
      <c r="N36" s="31">
        <v>0</v>
      </c>
      <c r="BE36" s="25" t="s">
        <v>1619</v>
      </c>
      <c r="BF36" s="25" t="s">
        <v>1693</v>
      </c>
      <c r="BG36" s="25" t="s">
        <v>93</v>
      </c>
      <c r="BH36" s="104">
        <v>820</v>
      </c>
      <c r="BI36" s="104">
        <v>700</v>
      </c>
      <c r="BJ36" s="25">
        <v>0.03</v>
      </c>
    </row>
    <row r="37" spans="3:64">
      <c r="C37" s="224" t="s">
        <v>1269</v>
      </c>
      <c r="H37" s="92" t="s">
        <v>1712</v>
      </c>
      <c r="I37" s="25" t="s">
        <v>1713</v>
      </c>
      <c r="J37" s="33" t="s">
        <v>1714</v>
      </c>
      <c r="K37" s="25" t="s">
        <v>77</v>
      </c>
      <c r="L37" s="245">
        <v>61500</v>
      </c>
      <c r="M37" s="326">
        <v>16840</v>
      </c>
      <c r="N37" s="31">
        <v>0</v>
      </c>
      <c r="BE37" s="25" t="s">
        <v>1619</v>
      </c>
      <c r="BF37" s="25" t="s">
        <v>1695</v>
      </c>
      <c r="BG37" s="25" t="s">
        <v>93</v>
      </c>
      <c r="BH37" s="104">
        <v>1020</v>
      </c>
      <c r="BI37" s="104">
        <v>870</v>
      </c>
      <c r="BJ37" s="25">
        <v>3.4000000000000002E-2</v>
      </c>
    </row>
    <row r="38" spans="3:64">
      <c r="C38" s="243" t="s">
        <v>1275</v>
      </c>
      <c r="I38" s="23" t="s">
        <v>1715</v>
      </c>
      <c r="BE38" s="25" t="s">
        <v>1619</v>
      </c>
      <c r="BF38" s="25" t="s">
        <v>1700</v>
      </c>
      <c r="BG38" s="25" t="s">
        <v>93</v>
      </c>
      <c r="BH38" s="104">
        <v>1230</v>
      </c>
      <c r="BI38" s="104">
        <v>1050</v>
      </c>
      <c r="BJ38" s="25">
        <v>3.7999999999999999E-2</v>
      </c>
    </row>
    <row r="39" spans="3:64">
      <c r="C39" s="322" t="s">
        <v>1286</v>
      </c>
      <c r="H39" s="192" t="s">
        <v>1716</v>
      </c>
      <c r="I39" s="193" t="s">
        <v>1717</v>
      </c>
      <c r="J39" s="32" t="s">
        <v>1718</v>
      </c>
      <c r="K39" s="32" t="s">
        <v>1719</v>
      </c>
      <c r="L39" s="323">
        <v>406000</v>
      </c>
      <c r="M39" s="323">
        <v>188780</v>
      </c>
      <c r="N39" s="195">
        <v>0</v>
      </c>
      <c r="BE39" s="23" t="s">
        <v>1561</v>
      </c>
    </row>
    <row r="40" spans="3:64">
      <c r="C40" s="25" t="s">
        <v>1720</v>
      </c>
      <c r="H40" s="128" t="s">
        <v>1721</v>
      </c>
      <c r="I40" s="39" t="s">
        <v>1722</v>
      </c>
      <c r="J40" s="39" t="s">
        <v>1723</v>
      </c>
      <c r="K40" s="39" t="s">
        <v>1719</v>
      </c>
      <c r="L40" s="323">
        <v>134000</v>
      </c>
      <c r="M40" s="323">
        <v>71530</v>
      </c>
      <c r="N40" s="50">
        <v>0</v>
      </c>
      <c r="O40" s="40"/>
      <c r="BE40" s="33" t="s">
        <v>1724</v>
      </c>
      <c r="BF40" s="25" t="s">
        <v>1725</v>
      </c>
      <c r="BG40" s="25" t="s">
        <v>299</v>
      </c>
      <c r="BH40" s="104">
        <f>ROUNDUP(BI40/$BI$2,-1)</f>
        <v>120</v>
      </c>
      <c r="BI40" s="104">
        <v>100</v>
      </c>
      <c r="BJ40" s="25">
        <v>1.4999999999999999E-2</v>
      </c>
      <c r="BK40" s="25">
        <v>59</v>
      </c>
      <c r="BL40" s="25" t="s">
        <v>1726</v>
      </c>
    </row>
    <row r="41" spans="3:64">
      <c r="C41" s="25" t="s">
        <v>438</v>
      </c>
      <c r="H41" s="196" t="s">
        <v>1727</v>
      </c>
      <c r="I41" s="32" t="s">
        <v>1728</v>
      </c>
      <c r="J41" s="32" t="s">
        <v>1729</v>
      </c>
      <c r="K41" s="32" t="s">
        <v>73</v>
      </c>
      <c r="L41" s="323">
        <v>57500</v>
      </c>
      <c r="M41" s="326">
        <v>12330</v>
      </c>
      <c r="N41" s="142">
        <v>0</v>
      </c>
      <c r="BE41" s="33" t="s">
        <v>1724</v>
      </c>
      <c r="BF41" s="25" t="s">
        <v>1730</v>
      </c>
      <c r="BG41" s="25" t="s">
        <v>299</v>
      </c>
      <c r="BH41" s="104">
        <f>ROUNDUP(BI41/$BI$2,-1)</f>
        <v>190</v>
      </c>
      <c r="BI41" s="104">
        <v>155</v>
      </c>
      <c r="BJ41" s="25">
        <v>1.7000000000000001E-2</v>
      </c>
      <c r="BK41" s="25">
        <v>91</v>
      </c>
    </row>
    <row r="42" spans="3:64">
      <c r="C42" s="25" t="s">
        <v>1731</v>
      </c>
      <c r="H42" s="192" t="s">
        <v>1732</v>
      </c>
      <c r="I42" s="32" t="s">
        <v>1733</v>
      </c>
      <c r="J42" s="32" t="s">
        <v>1734</v>
      </c>
      <c r="K42" s="32" t="s">
        <v>1735</v>
      </c>
      <c r="L42" s="194">
        <v>5000</v>
      </c>
      <c r="M42" s="194">
        <v>3000</v>
      </c>
      <c r="N42" s="32">
        <v>0</v>
      </c>
      <c r="BE42" s="33" t="s">
        <v>1724</v>
      </c>
      <c r="BF42" s="25" t="s">
        <v>1736</v>
      </c>
      <c r="BG42" s="25" t="s">
        <v>299</v>
      </c>
      <c r="BH42" s="104">
        <f>ROUNDUP(BI42/$BI$2,-1)</f>
        <v>230</v>
      </c>
      <c r="BI42" s="104">
        <v>190</v>
      </c>
      <c r="BJ42" s="25">
        <v>1.9E-2</v>
      </c>
      <c r="BK42" s="25">
        <v>116</v>
      </c>
      <c r="BL42" s="25" t="s">
        <v>1726</v>
      </c>
    </row>
    <row r="43" spans="3:64">
      <c r="C43" s="25" t="s">
        <v>1737</v>
      </c>
      <c r="H43" s="192" t="s">
        <v>1738</v>
      </c>
      <c r="I43" s="32" t="s">
        <v>1739</v>
      </c>
      <c r="J43" s="32" t="s">
        <v>1740</v>
      </c>
      <c r="K43" s="32" t="s">
        <v>1741</v>
      </c>
      <c r="L43" s="194">
        <v>2300</v>
      </c>
      <c r="M43" s="194">
        <v>1299</v>
      </c>
      <c r="N43" s="32">
        <v>0</v>
      </c>
      <c r="BE43" s="23" t="s">
        <v>1561</v>
      </c>
    </row>
    <row r="44" spans="3:64">
      <c r="C44" s="25" t="s">
        <v>1742</v>
      </c>
      <c r="H44" s="192" t="s">
        <v>1743</v>
      </c>
      <c r="I44" s="32" t="s">
        <v>1739</v>
      </c>
      <c r="J44" s="32" t="s">
        <v>1744</v>
      </c>
      <c r="K44" s="32" t="s">
        <v>1745</v>
      </c>
      <c r="L44" s="194">
        <v>24900</v>
      </c>
      <c r="M44" s="194">
        <v>15588</v>
      </c>
      <c r="N44" s="32">
        <v>0</v>
      </c>
      <c r="BE44" s="33" t="s">
        <v>1746</v>
      </c>
      <c r="BF44" s="25" t="s">
        <v>1747</v>
      </c>
      <c r="BG44" s="25" t="s">
        <v>299</v>
      </c>
      <c r="BH44" s="104">
        <f t="shared" ref="BH44:BH54" si="2">ROUNDUP(BI44/$BI$2,-1)</f>
        <v>80</v>
      </c>
      <c r="BI44" s="104">
        <v>60</v>
      </c>
      <c r="BJ44" s="25">
        <v>1.6E-2</v>
      </c>
      <c r="BK44" s="25">
        <v>38</v>
      </c>
    </row>
    <row r="45" spans="3:64">
      <c r="C45" s="25" t="s">
        <v>1748</v>
      </c>
      <c r="H45" s="192" t="s">
        <v>1749</v>
      </c>
      <c r="I45" s="32" t="s">
        <v>1739</v>
      </c>
      <c r="J45" s="32" t="s">
        <v>1750</v>
      </c>
      <c r="K45" s="32" t="s">
        <v>1745</v>
      </c>
      <c r="L45" s="194">
        <v>23000</v>
      </c>
      <c r="M45" s="194">
        <v>15588</v>
      </c>
      <c r="N45" s="32">
        <v>0</v>
      </c>
      <c r="BE45" s="33" t="s">
        <v>1746</v>
      </c>
      <c r="BF45" s="25" t="s">
        <v>1751</v>
      </c>
      <c r="BG45" s="25" t="s">
        <v>299</v>
      </c>
      <c r="BH45" s="104">
        <f t="shared" si="2"/>
        <v>100</v>
      </c>
      <c r="BI45" s="104">
        <v>81</v>
      </c>
      <c r="BJ45" s="25">
        <v>1.7000000000000001E-2</v>
      </c>
      <c r="BK45" s="25">
        <v>47</v>
      </c>
      <c r="BL45" s="25" t="s">
        <v>1726</v>
      </c>
    </row>
    <row r="46" spans="3:64">
      <c r="C46" s="25" t="s">
        <v>1752</v>
      </c>
      <c r="H46" s="192" t="s">
        <v>1753</v>
      </c>
      <c r="I46" s="32" t="s">
        <v>1739</v>
      </c>
      <c r="J46" s="32" t="s">
        <v>1754</v>
      </c>
      <c r="K46" s="32" t="s">
        <v>1745</v>
      </c>
      <c r="L46" s="194">
        <v>20700</v>
      </c>
      <c r="M46" s="194">
        <v>15588</v>
      </c>
      <c r="N46" s="32">
        <v>0</v>
      </c>
      <c r="BE46" s="33" t="s">
        <v>1746</v>
      </c>
      <c r="BF46" s="25" t="s">
        <v>1755</v>
      </c>
      <c r="BG46" s="25" t="s">
        <v>299</v>
      </c>
      <c r="BH46" s="104">
        <f t="shared" si="2"/>
        <v>130</v>
      </c>
      <c r="BI46" s="104">
        <v>110</v>
      </c>
      <c r="BJ46" s="25">
        <v>1.7999999999999999E-2</v>
      </c>
      <c r="BK46" s="25">
        <v>53</v>
      </c>
      <c r="BL46" s="25" t="s">
        <v>1726</v>
      </c>
    </row>
    <row r="47" spans="3:64">
      <c r="C47" s="25" t="s">
        <v>1756</v>
      </c>
      <c r="H47" s="192" t="s">
        <v>1757</v>
      </c>
      <c r="I47" s="32" t="s">
        <v>1739</v>
      </c>
      <c r="J47" s="32" t="s">
        <v>1758</v>
      </c>
      <c r="K47" s="32" t="s">
        <v>1745</v>
      </c>
      <c r="L47" s="194">
        <v>18400</v>
      </c>
      <c r="M47" s="194">
        <v>15588</v>
      </c>
      <c r="N47" s="32">
        <v>0</v>
      </c>
      <c r="BE47" s="33" t="s">
        <v>1746</v>
      </c>
      <c r="BF47" s="25" t="s">
        <v>1759</v>
      </c>
      <c r="BG47" s="25" t="s">
        <v>299</v>
      </c>
      <c r="BH47" s="104">
        <f t="shared" si="2"/>
        <v>200</v>
      </c>
      <c r="BI47" s="104">
        <v>170</v>
      </c>
      <c r="BJ47" s="25">
        <v>1.9E-2</v>
      </c>
      <c r="BK47" s="25">
        <v>84</v>
      </c>
      <c r="BL47" s="25" t="s">
        <v>1726</v>
      </c>
    </row>
    <row r="48" spans="3:64">
      <c r="C48" s="25" t="s">
        <v>1760</v>
      </c>
      <c r="H48" s="192" t="s">
        <v>1761</v>
      </c>
      <c r="I48" s="32" t="s">
        <v>1762</v>
      </c>
      <c r="J48" s="32" t="s">
        <v>1740</v>
      </c>
      <c r="K48" s="32" t="s">
        <v>1741</v>
      </c>
      <c r="L48" s="194">
        <v>1700</v>
      </c>
      <c r="M48" s="194">
        <v>904</v>
      </c>
      <c r="N48" s="32">
        <v>0</v>
      </c>
      <c r="BE48" s="33" t="s">
        <v>1746</v>
      </c>
      <c r="BF48" s="25" t="s">
        <v>1763</v>
      </c>
      <c r="BG48" s="25" t="s">
        <v>299</v>
      </c>
      <c r="BH48" s="104">
        <f t="shared" si="2"/>
        <v>230</v>
      </c>
      <c r="BI48" s="104">
        <v>190</v>
      </c>
      <c r="BJ48" s="25">
        <v>0.02</v>
      </c>
      <c r="BK48" s="25">
        <v>117</v>
      </c>
      <c r="BL48" s="25" t="s">
        <v>1726</v>
      </c>
    </row>
    <row r="49" spans="3:64">
      <c r="C49" s="25" t="s">
        <v>1764</v>
      </c>
      <c r="H49" s="192" t="s">
        <v>1765</v>
      </c>
      <c r="I49" s="32" t="s">
        <v>1762</v>
      </c>
      <c r="J49" s="32" t="s">
        <v>1744</v>
      </c>
      <c r="K49" s="32" t="s">
        <v>1745</v>
      </c>
      <c r="L49" s="194">
        <v>18400</v>
      </c>
      <c r="M49" s="194">
        <v>10848</v>
      </c>
      <c r="N49" s="32">
        <v>0</v>
      </c>
      <c r="BE49" s="33" t="s">
        <v>1746</v>
      </c>
      <c r="BF49" s="25" t="s">
        <v>1766</v>
      </c>
      <c r="BG49" s="25" t="s">
        <v>299</v>
      </c>
      <c r="BH49" s="104">
        <f t="shared" si="2"/>
        <v>160</v>
      </c>
      <c r="BI49" s="104">
        <v>130</v>
      </c>
      <c r="BJ49" s="25">
        <v>2.1999999999999999E-2</v>
      </c>
      <c r="BK49" s="25">
        <v>73</v>
      </c>
      <c r="BL49" s="25" t="s">
        <v>1726</v>
      </c>
    </row>
    <row r="50" spans="3:64">
      <c r="C50" s="25" t="s">
        <v>1767</v>
      </c>
      <c r="H50" s="192" t="s">
        <v>1768</v>
      </c>
      <c r="I50" s="32" t="s">
        <v>1762</v>
      </c>
      <c r="J50" s="32" t="s">
        <v>1750</v>
      </c>
      <c r="K50" s="32" t="s">
        <v>1745</v>
      </c>
      <c r="L50" s="194">
        <v>17000</v>
      </c>
      <c r="M50" s="194">
        <v>10848</v>
      </c>
      <c r="N50" s="32">
        <v>0</v>
      </c>
      <c r="BE50" s="33" t="s">
        <v>1746</v>
      </c>
      <c r="BF50" s="25" t="s">
        <v>1769</v>
      </c>
      <c r="BG50" s="25" t="s">
        <v>299</v>
      </c>
      <c r="BH50" s="104">
        <f t="shared" si="2"/>
        <v>220</v>
      </c>
      <c r="BI50" s="104">
        <v>180</v>
      </c>
      <c r="BJ50" s="25">
        <v>2.3E-2</v>
      </c>
      <c r="BK50" s="25">
        <v>90</v>
      </c>
    </row>
    <row r="51" spans="3:64">
      <c r="C51" s="25" t="s">
        <v>1770</v>
      </c>
      <c r="H51" s="192" t="s">
        <v>1771</v>
      </c>
      <c r="I51" s="32" t="s">
        <v>1762</v>
      </c>
      <c r="J51" s="32" t="s">
        <v>1754</v>
      </c>
      <c r="K51" s="32" t="s">
        <v>1745</v>
      </c>
      <c r="L51" s="194">
        <v>15300</v>
      </c>
      <c r="M51" s="194">
        <v>10848</v>
      </c>
      <c r="N51" s="32">
        <v>0</v>
      </c>
      <c r="BE51" s="33" t="s">
        <v>1746</v>
      </c>
      <c r="BF51" s="25" t="s">
        <v>1772</v>
      </c>
      <c r="BG51" s="25" t="s">
        <v>299</v>
      </c>
      <c r="BH51" s="104">
        <f t="shared" si="2"/>
        <v>260</v>
      </c>
      <c r="BI51" s="104">
        <v>220</v>
      </c>
      <c r="BJ51" s="25">
        <v>2.4E-2</v>
      </c>
      <c r="BK51" s="25">
        <v>121</v>
      </c>
    </row>
    <row r="52" spans="3:64">
      <c r="C52" s="25" t="s">
        <v>1773</v>
      </c>
      <c r="H52" s="192" t="s">
        <v>1774</v>
      </c>
      <c r="I52" s="32" t="s">
        <v>1762</v>
      </c>
      <c r="J52" s="32" t="s">
        <v>1758</v>
      </c>
      <c r="K52" s="32" t="s">
        <v>1745</v>
      </c>
      <c r="L52" s="194">
        <v>13600</v>
      </c>
      <c r="M52" s="194">
        <v>10848</v>
      </c>
      <c r="N52" s="32">
        <v>0</v>
      </c>
      <c r="BE52" s="33" t="s">
        <v>1746</v>
      </c>
      <c r="BF52" s="25" t="s">
        <v>1775</v>
      </c>
      <c r="BG52" s="25" t="s">
        <v>299</v>
      </c>
      <c r="BH52" s="104">
        <f t="shared" si="2"/>
        <v>490</v>
      </c>
      <c r="BI52" s="104">
        <v>410</v>
      </c>
      <c r="BJ52" s="25">
        <v>0.03</v>
      </c>
    </row>
    <row r="53" spans="3:64">
      <c r="C53" s="25" t="s">
        <v>1776</v>
      </c>
      <c r="H53" s="192" t="s">
        <v>1777</v>
      </c>
      <c r="I53" s="32" t="s">
        <v>1778</v>
      </c>
      <c r="J53" s="32" t="s">
        <v>1740</v>
      </c>
      <c r="K53" s="32" t="s">
        <v>1741</v>
      </c>
      <c r="L53" s="194">
        <v>1300</v>
      </c>
      <c r="M53" s="194">
        <v>650</v>
      </c>
      <c r="N53" s="32">
        <v>0</v>
      </c>
      <c r="BE53" s="33" t="s">
        <v>1746</v>
      </c>
      <c r="BF53" s="25" t="s">
        <v>1779</v>
      </c>
      <c r="BG53" s="25" t="s">
        <v>299</v>
      </c>
      <c r="BH53" s="104">
        <f t="shared" si="2"/>
        <v>730</v>
      </c>
      <c r="BI53" s="104">
        <v>620</v>
      </c>
      <c r="BJ53" s="25">
        <v>3.4000000000000002E-2</v>
      </c>
      <c r="BK53" s="25">
        <v>320</v>
      </c>
    </row>
    <row r="54" spans="3:64">
      <c r="C54" s="25" t="s">
        <v>1780</v>
      </c>
      <c r="H54" s="192" t="s">
        <v>1781</v>
      </c>
      <c r="I54" s="32" t="s">
        <v>1778</v>
      </c>
      <c r="J54" s="32" t="s">
        <v>1744</v>
      </c>
      <c r="K54" s="32" t="s">
        <v>1745</v>
      </c>
      <c r="L54" s="194">
        <v>14100</v>
      </c>
      <c r="M54" s="194">
        <v>7800</v>
      </c>
      <c r="N54" s="32">
        <v>0</v>
      </c>
      <c r="BE54" s="33" t="s">
        <v>1746</v>
      </c>
      <c r="BF54" s="25" t="s">
        <v>1782</v>
      </c>
      <c r="BG54" s="25" t="s">
        <v>299</v>
      </c>
      <c r="BH54" s="104">
        <f t="shared" si="2"/>
        <v>830</v>
      </c>
      <c r="BI54" s="104">
        <v>700</v>
      </c>
      <c r="BJ54" s="25">
        <v>3.7999999999999999E-2</v>
      </c>
      <c r="BK54" s="25">
        <v>550</v>
      </c>
    </row>
    <row r="55" spans="3:64">
      <c r="C55" s="25" t="s">
        <v>1783</v>
      </c>
      <c r="H55" s="192" t="s">
        <v>1784</v>
      </c>
      <c r="I55" s="32" t="s">
        <v>1778</v>
      </c>
      <c r="J55" s="32" t="s">
        <v>1750</v>
      </c>
      <c r="K55" s="32" t="s">
        <v>1745</v>
      </c>
      <c r="L55" s="194">
        <v>13000</v>
      </c>
      <c r="M55" s="194">
        <v>7800</v>
      </c>
      <c r="N55" s="32">
        <v>0</v>
      </c>
    </row>
    <row r="56" spans="3:64">
      <c r="C56" s="25" t="s">
        <v>1785</v>
      </c>
      <c r="H56" s="192" t="s">
        <v>1786</v>
      </c>
      <c r="I56" s="32" t="s">
        <v>1778</v>
      </c>
      <c r="J56" s="32" t="s">
        <v>1754</v>
      </c>
      <c r="K56" s="32" t="s">
        <v>1745</v>
      </c>
      <c r="L56" s="194">
        <v>11700</v>
      </c>
      <c r="M56" s="194">
        <v>7800</v>
      </c>
      <c r="N56" s="32">
        <v>0</v>
      </c>
    </row>
    <row r="57" spans="3:64">
      <c r="C57" s="25" t="s">
        <v>1787</v>
      </c>
      <c r="H57" s="192" t="s">
        <v>1788</v>
      </c>
      <c r="I57" s="32" t="s">
        <v>1778</v>
      </c>
      <c r="J57" s="32" t="s">
        <v>1758</v>
      </c>
      <c r="K57" s="32" t="s">
        <v>1745</v>
      </c>
      <c r="L57" s="194">
        <v>10400</v>
      </c>
      <c r="M57" s="194">
        <v>7800</v>
      </c>
      <c r="N57" s="32">
        <v>0</v>
      </c>
    </row>
    <row r="58" spans="3:64">
      <c r="C58" s="25" t="s">
        <v>117</v>
      </c>
    </row>
    <row r="60" spans="3:64">
      <c r="N60" s="31"/>
    </row>
    <row r="63" spans="3:64">
      <c r="N63" s="31"/>
    </row>
    <row r="64" spans="3:64">
      <c r="N64" s="31"/>
    </row>
  </sheetData>
  <phoneticPr fontId="2"/>
  <pageMargins left="0.70866141732283472" right="0.70866141732283472" top="0.74803149606299213" bottom="0.74803149606299213" header="0.31496062992125984" footer="0.31496062992125984"/>
  <pageSetup paperSize="8" scale="2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B1:GB163"/>
  <sheetViews>
    <sheetView topLeftCell="A34" zoomScale="90" zoomScaleNormal="90" workbookViewId="0">
      <selection activeCell="BJ29" sqref="BJ29"/>
    </sheetView>
  </sheetViews>
  <sheetFormatPr defaultColWidth="9" defaultRowHeight="11.25"/>
  <cols>
    <col min="1" max="1" width="1.5703125" style="25" customWidth="1"/>
    <col min="2" max="2" width="3.5703125" style="25" customWidth="1"/>
    <col min="3" max="3" width="16.28515625" style="25" customWidth="1"/>
    <col min="4" max="4" width="5.5703125" style="25" customWidth="1"/>
    <col min="5" max="5" width="3.5703125" style="25" customWidth="1"/>
    <col min="6" max="6" width="21" style="25" bestFit="1" customWidth="1"/>
    <col min="7" max="8" width="3.5703125" style="25" customWidth="1"/>
    <col min="9" max="9" width="9" style="25"/>
    <col min="10" max="10" width="3.5703125" style="25" customWidth="1"/>
    <col min="11" max="11" width="9.7109375" style="25" bestFit="1" customWidth="1"/>
    <col min="12" max="12" width="4.7109375" style="25" bestFit="1" customWidth="1"/>
    <col min="13" max="13" width="4.42578125" style="25" bestFit="1" customWidth="1"/>
    <col min="14" max="15" width="7" style="28" bestFit="1" customWidth="1"/>
    <col min="16" max="16" width="4.42578125" style="25" bestFit="1" customWidth="1"/>
    <col min="17" max="18" width="3.5703125" style="25" customWidth="1"/>
    <col min="19" max="19" width="11.140625" style="25" bestFit="1" customWidth="1"/>
    <col min="20" max="20" width="9.85546875" style="25" bestFit="1" customWidth="1"/>
    <col min="21" max="21" width="4.42578125" style="25" bestFit="1" customWidth="1"/>
    <col min="22" max="22" width="6.7109375" style="28" bestFit="1" customWidth="1"/>
    <col min="23" max="23" width="6" style="28" bestFit="1" customWidth="1"/>
    <col min="24" max="24" width="5.28515625" style="25" bestFit="1" customWidth="1"/>
    <col min="25" max="26" width="3.5703125" style="25" customWidth="1"/>
    <col min="27" max="27" width="10.42578125" style="25" bestFit="1" customWidth="1"/>
    <col min="28" max="28" width="4.7109375" style="25" bestFit="1" customWidth="1"/>
    <col min="29" max="29" width="4.42578125" style="25" bestFit="1" customWidth="1"/>
    <col min="30" max="31" width="7" style="28" bestFit="1" customWidth="1"/>
    <col min="32" max="32" width="4.42578125" style="25" bestFit="1" customWidth="1"/>
    <col min="33" max="34" width="3.5703125" style="25" customWidth="1"/>
    <col min="35" max="35" width="10.42578125" style="25" bestFit="1" customWidth="1"/>
    <col min="36" max="36" width="4" style="25" bestFit="1" customWidth="1"/>
    <col min="37" max="37" width="4.42578125" style="25" bestFit="1" customWidth="1"/>
    <col min="38" max="39" width="6" style="99" bestFit="1" customWidth="1"/>
    <col min="40" max="40" width="4.42578125" style="29" bestFit="1" customWidth="1"/>
    <col min="41" max="42" width="3.5703125" style="25" customWidth="1"/>
    <col min="43" max="43" width="12.85546875" style="25" bestFit="1" customWidth="1"/>
    <col min="44" max="44" width="7.7109375" style="25" bestFit="1" customWidth="1"/>
    <col min="45" max="45" width="4.42578125" style="25" bestFit="1" customWidth="1"/>
    <col min="46" max="47" width="6" style="99" bestFit="1" customWidth="1"/>
    <col min="48" max="48" width="4.42578125" style="25" bestFit="1" customWidth="1"/>
    <col min="49" max="50" width="3.5703125" style="25" customWidth="1"/>
    <col min="51" max="51" width="11.42578125" style="25" bestFit="1" customWidth="1"/>
    <col min="52" max="52" width="20.42578125" style="25" bestFit="1" customWidth="1"/>
    <col min="53" max="53" width="4.42578125" style="25" bestFit="1" customWidth="1"/>
    <col min="54" max="55" width="6" style="28" bestFit="1" customWidth="1"/>
    <col min="56" max="56" width="5.28515625" style="25" bestFit="1" customWidth="1"/>
    <col min="57" max="58" width="3.5703125" style="25" customWidth="1"/>
    <col min="59" max="59" width="9" style="25" bestFit="1" customWidth="1"/>
    <col min="60" max="60" width="9.5703125" style="25" bestFit="1" customWidth="1"/>
    <col min="61" max="61" width="4.42578125" style="25" bestFit="1" customWidth="1"/>
    <col min="62" max="63" width="6.85546875" style="28" bestFit="1" customWidth="1"/>
    <col min="64" max="64" width="4.42578125" style="25" bestFit="1" customWidth="1"/>
    <col min="65" max="66" width="3.5703125" style="25" customWidth="1"/>
    <col min="67" max="67" width="9" style="25" bestFit="1" customWidth="1"/>
    <col min="68" max="68" width="11.42578125" style="25" bestFit="1" customWidth="1"/>
    <col min="69" max="69" width="4.42578125" style="25" bestFit="1" customWidth="1"/>
    <col min="70" max="70" width="7.140625" style="28" customWidth="1"/>
    <col min="71" max="71" width="6.7109375" style="28" bestFit="1" customWidth="1"/>
    <col min="72" max="72" width="4.42578125" style="29" bestFit="1" customWidth="1"/>
    <col min="73" max="74" width="3.5703125" style="25" customWidth="1"/>
    <col min="75" max="75" width="7.7109375" style="25" bestFit="1" customWidth="1"/>
    <col min="76" max="76" width="8.5703125" style="25" bestFit="1" customWidth="1"/>
    <col min="77" max="77" width="4.42578125" style="25" bestFit="1" customWidth="1"/>
    <col min="78" max="79" width="6.28515625" style="28" bestFit="1" customWidth="1"/>
    <col min="80" max="80" width="4.42578125" style="29" bestFit="1" customWidth="1"/>
    <col min="81" max="82" width="3.5703125" style="25" customWidth="1"/>
    <col min="83" max="83" width="9" style="25" bestFit="1" customWidth="1"/>
    <col min="84" max="84" width="9.5703125" style="25" bestFit="1" customWidth="1"/>
    <col min="85" max="85" width="4.42578125" style="25" bestFit="1" customWidth="1"/>
    <col min="86" max="87" width="6.7109375" style="28" bestFit="1" customWidth="1"/>
    <col min="88" max="88" width="4.42578125" style="29" bestFit="1" customWidth="1"/>
    <col min="89" max="90" width="3.5703125" style="25" customWidth="1"/>
    <col min="91" max="91" width="9" style="25" bestFit="1" customWidth="1"/>
    <col min="92" max="92" width="9.5703125" style="25" bestFit="1" customWidth="1"/>
    <col min="93" max="93" width="4.42578125" style="25" bestFit="1" customWidth="1"/>
    <col min="94" max="95" width="6.7109375" style="28" bestFit="1" customWidth="1"/>
    <col min="96" max="96" width="4.42578125" style="29" bestFit="1" customWidth="1"/>
    <col min="97" max="98" width="3.5703125" style="25" customWidth="1"/>
    <col min="99" max="99" width="11.42578125" style="25" bestFit="1" customWidth="1"/>
    <col min="100" max="100" width="8.42578125" style="25" bestFit="1" customWidth="1"/>
    <col min="101" max="101" width="4.42578125" style="25" bestFit="1" customWidth="1"/>
    <col min="102" max="102" width="6.7109375" style="28" bestFit="1" customWidth="1"/>
    <col min="103" max="103" width="6" style="28" bestFit="1" customWidth="1"/>
    <col min="104" max="104" width="4.42578125" style="29" bestFit="1" customWidth="1"/>
    <col min="105" max="106" width="3.5703125" style="25" customWidth="1"/>
    <col min="107" max="107" width="13.42578125" style="25" bestFit="1" customWidth="1"/>
    <col min="108" max="108" width="9.5703125" style="25" bestFit="1" customWidth="1"/>
    <col min="109" max="109" width="4.42578125" style="25" bestFit="1" customWidth="1"/>
    <col min="110" max="111" width="6.7109375" style="28" bestFit="1" customWidth="1"/>
    <col min="112" max="112" width="4.42578125" style="29" bestFit="1" customWidth="1"/>
    <col min="113" max="114" width="3.5703125" style="25" customWidth="1"/>
    <col min="115" max="115" width="12.85546875" style="25" bestFit="1" customWidth="1"/>
    <col min="116" max="116" width="8.5703125" style="25" bestFit="1" customWidth="1"/>
    <col min="117" max="117" width="4.42578125" style="25" bestFit="1" customWidth="1"/>
    <col min="118" max="118" width="7.7109375" style="99" bestFit="1" customWidth="1"/>
    <col min="119" max="119" width="6.85546875" style="99" bestFit="1" customWidth="1"/>
    <col min="120" max="120" width="4.7109375" style="29" bestFit="1" customWidth="1"/>
    <col min="121" max="122" width="3.5703125" style="25" customWidth="1"/>
    <col min="123" max="123" width="12.28515625" style="25" bestFit="1" customWidth="1"/>
    <col min="124" max="124" width="8.42578125" style="25" bestFit="1" customWidth="1"/>
    <col min="125" max="125" width="4.42578125" style="25" bestFit="1" customWidth="1"/>
    <col min="126" max="126" width="6.7109375" style="28" bestFit="1" customWidth="1"/>
    <col min="127" max="127" width="6" style="28" bestFit="1" customWidth="1"/>
    <col min="128" max="128" width="4.42578125" style="29" bestFit="1" customWidth="1"/>
    <col min="129" max="130" width="3.5703125" style="25" customWidth="1"/>
    <col min="131" max="131" width="9" style="25" bestFit="1" customWidth="1"/>
    <col min="132" max="132" width="12.42578125" style="25" bestFit="1" customWidth="1"/>
    <col min="133" max="133" width="4.42578125" style="25" bestFit="1" customWidth="1"/>
    <col min="134" max="135" width="6.7109375" style="28" bestFit="1" customWidth="1"/>
    <col min="136" max="136" width="4.42578125" style="29" bestFit="1" customWidth="1"/>
    <col min="137" max="138" width="3.5703125" style="25" customWidth="1"/>
    <col min="139" max="139" width="14.42578125" style="25" bestFit="1" customWidth="1"/>
    <col min="140" max="140" width="10.5703125" style="25" bestFit="1" customWidth="1"/>
    <col min="141" max="141" width="4.42578125" style="25" bestFit="1" customWidth="1"/>
    <col min="142" max="142" width="7.7109375" style="28" bestFit="1" customWidth="1"/>
    <col min="143" max="143" width="6.7109375" style="28" bestFit="1" customWidth="1"/>
    <col min="144" max="144" width="4.7109375" style="29" bestFit="1" customWidth="1"/>
    <col min="145" max="146" width="3.5703125" style="25" customWidth="1"/>
    <col min="147" max="147" width="15.28515625" style="25" bestFit="1" customWidth="1"/>
    <col min="148" max="148" width="10.140625" style="25" bestFit="1" customWidth="1"/>
    <col min="149" max="149" width="4.42578125" style="25" bestFit="1" customWidth="1"/>
    <col min="150" max="151" width="6" style="28" bestFit="1" customWidth="1"/>
    <col min="152" max="152" width="4.42578125" style="29" bestFit="1" customWidth="1"/>
    <col min="153" max="153" width="3.5703125" style="25" customWidth="1"/>
    <col min="154" max="154" width="8.85546875" style="54" customWidth="1"/>
    <col min="155" max="155" width="10" style="25" bestFit="1" customWidth="1"/>
    <col min="156" max="156" width="9.7109375" style="25" bestFit="1" customWidth="1"/>
    <col min="157" max="157" width="4.42578125" style="25" bestFit="1" customWidth="1"/>
    <col min="158" max="159" width="6.7109375" style="28" bestFit="1" customWidth="1"/>
    <col min="160" max="160" width="4.42578125" style="29" bestFit="1" customWidth="1"/>
    <col min="161" max="162" width="3.5703125" style="25" customWidth="1"/>
    <col min="163" max="163" width="13.7109375" style="25" bestFit="1" customWidth="1"/>
    <col min="164" max="164" width="6.85546875" style="25" bestFit="1" customWidth="1"/>
    <col min="165" max="165" width="4.42578125" style="25" bestFit="1" customWidth="1"/>
    <col min="166" max="167" width="6" style="28" bestFit="1" customWidth="1"/>
    <col min="168" max="168" width="4.42578125" style="29" bestFit="1" customWidth="1"/>
    <col min="169" max="170" width="3.5703125" style="25" customWidth="1"/>
    <col min="171" max="171" width="11.42578125" style="25" bestFit="1" customWidth="1"/>
    <col min="172" max="172" width="6.85546875" style="25" bestFit="1" customWidth="1"/>
    <col min="173" max="173" width="4.42578125" style="25" bestFit="1" customWidth="1"/>
    <col min="174" max="175" width="7.28515625" style="28" bestFit="1" customWidth="1"/>
    <col min="176" max="176" width="4.42578125" style="29" bestFit="1" customWidth="1"/>
    <col min="177" max="178" width="3.5703125" style="25" customWidth="1"/>
    <col min="179" max="179" width="10.42578125" style="25" bestFit="1" customWidth="1"/>
    <col min="180" max="180" width="6.85546875" style="25" bestFit="1" customWidth="1"/>
    <col min="181" max="181" width="3.42578125" style="25" bestFit="1" customWidth="1"/>
    <col min="182" max="183" width="6" style="28" bestFit="1" customWidth="1"/>
    <col min="184" max="184" width="4.42578125" style="29" bestFit="1" customWidth="1"/>
    <col min="185" max="16384" width="9" style="25"/>
  </cols>
  <sheetData>
    <row r="1" spans="2:184">
      <c r="J1" s="54" t="s">
        <v>226</v>
      </c>
      <c r="K1" s="25" t="s">
        <v>227</v>
      </c>
      <c r="L1" s="26" t="s">
        <v>228</v>
      </c>
      <c r="M1" s="25" t="s">
        <v>1516</v>
      </c>
      <c r="N1" s="28" t="s">
        <v>1517</v>
      </c>
      <c r="O1" s="28" t="s">
        <v>230</v>
      </c>
      <c r="P1" s="25" t="s">
        <v>231</v>
      </c>
      <c r="R1" s="54" t="s">
        <v>226</v>
      </c>
      <c r="S1" s="25" t="s">
        <v>227</v>
      </c>
      <c r="T1" s="26" t="s">
        <v>228</v>
      </c>
      <c r="U1" s="25" t="s">
        <v>1516</v>
      </c>
      <c r="V1" s="28" t="s">
        <v>1517</v>
      </c>
      <c r="W1" s="28" t="s">
        <v>230</v>
      </c>
      <c r="X1" s="25" t="s">
        <v>231</v>
      </c>
      <c r="Z1" s="54" t="s">
        <v>226</v>
      </c>
      <c r="AA1" s="25" t="s">
        <v>227</v>
      </c>
      <c r="AB1" s="26" t="s">
        <v>228</v>
      </c>
      <c r="AC1" s="25" t="s">
        <v>1516</v>
      </c>
      <c r="AD1" s="28" t="s">
        <v>1517</v>
      </c>
      <c r="AE1" s="28" t="s">
        <v>230</v>
      </c>
      <c r="AF1" s="25" t="s">
        <v>231</v>
      </c>
      <c r="AH1" s="54" t="s">
        <v>226</v>
      </c>
      <c r="AI1" s="25" t="s">
        <v>227</v>
      </c>
      <c r="AJ1" s="26" t="s">
        <v>228</v>
      </c>
      <c r="AK1" s="25" t="s">
        <v>1516</v>
      </c>
      <c r="AL1" s="28" t="s">
        <v>1517</v>
      </c>
      <c r="AM1" s="28" t="s">
        <v>230</v>
      </c>
      <c r="AN1" s="25" t="s">
        <v>231</v>
      </c>
      <c r="AP1" s="54" t="s">
        <v>226</v>
      </c>
      <c r="AQ1" s="25" t="s">
        <v>227</v>
      </c>
      <c r="AR1" s="26" t="s">
        <v>228</v>
      </c>
      <c r="AS1" s="25" t="s">
        <v>1516</v>
      </c>
      <c r="AT1" s="28" t="s">
        <v>1517</v>
      </c>
      <c r="AU1" s="28" t="s">
        <v>230</v>
      </c>
      <c r="AV1" s="25" t="s">
        <v>231</v>
      </c>
      <c r="AX1" s="54" t="s">
        <v>226</v>
      </c>
      <c r="AY1" s="25" t="s">
        <v>227</v>
      </c>
      <c r="AZ1" s="26" t="s">
        <v>228</v>
      </c>
      <c r="BA1" s="25" t="s">
        <v>1516</v>
      </c>
      <c r="BB1" s="28" t="s">
        <v>1517</v>
      </c>
      <c r="BC1" s="28" t="s">
        <v>230</v>
      </c>
      <c r="BD1" s="25" t="s">
        <v>231</v>
      </c>
      <c r="BF1" s="54" t="s">
        <v>226</v>
      </c>
      <c r="BG1" s="25" t="s">
        <v>227</v>
      </c>
      <c r="BH1" s="26" t="s">
        <v>228</v>
      </c>
      <c r="BI1" s="25" t="s">
        <v>1516</v>
      </c>
      <c r="BJ1" s="28" t="s">
        <v>1517</v>
      </c>
      <c r="BK1" s="28" t="s">
        <v>230</v>
      </c>
      <c r="BL1" s="25" t="s">
        <v>231</v>
      </c>
      <c r="BN1" s="54" t="s">
        <v>226</v>
      </c>
      <c r="BO1" s="25" t="s">
        <v>227</v>
      </c>
      <c r="BP1" s="26" t="s">
        <v>228</v>
      </c>
      <c r="BQ1" s="25" t="s">
        <v>1516</v>
      </c>
      <c r="BR1" s="28" t="s">
        <v>1517</v>
      </c>
      <c r="BS1" s="28" t="s">
        <v>230</v>
      </c>
      <c r="BT1" s="25" t="s">
        <v>231</v>
      </c>
      <c r="BV1" s="54" t="s">
        <v>226</v>
      </c>
      <c r="BW1" s="25" t="s">
        <v>227</v>
      </c>
      <c r="BX1" s="26" t="s">
        <v>228</v>
      </c>
      <c r="BY1" s="25" t="s">
        <v>1516</v>
      </c>
      <c r="BZ1" s="28" t="s">
        <v>1517</v>
      </c>
      <c r="CA1" s="28" t="s">
        <v>230</v>
      </c>
      <c r="CB1" s="25" t="s">
        <v>231</v>
      </c>
      <c r="CD1" s="54" t="s">
        <v>226</v>
      </c>
      <c r="CE1" s="25" t="s">
        <v>227</v>
      </c>
      <c r="CF1" s="26" t="s">
        <v>228</v>
      </c>
      <c r="CG1" s="25" t="s">
        <v>1516</v>
      </c>
      <c r="CH1" s="28" t="s">
        <v>1517</v>
      </c>
      <c r="CI1" s="28" t="s">
        <v>230</v>
      </c>
      <c r="CJ1" s="25" t="s">
        <v>231</v>
      </c>
      <c r="CL1" s="54" t="s">
        <v>226</v>
      </c>
      <c r="CM1" s="25" t="s">
        <v>227</v>
      </c>
      <c r="CN1" s="26" t="s">
        <v>228</v>
      </c>
      <c r="CO1" s="25" t="s">
        <v>1516</v>
      </c>
      <c r="CP1" s="28" t="s">
        <v>1517</v>
      </c>
      <c r="CQ1" s="28" t="s">
        <v>230</v>
      </c>
      <c r="CR1" s="25" t="s">
        <v>231</v>
      </c>
      <c r="CT1" s="54" t="s">
        <v>226</v>
      </c>
      <c r="CU1" s="25" t="s">
        <v>227</v>
      </c>
      <c r="CV1" s="26" t="s">
        <v>228</v>
      </c>
      <c r="CW1" s="25" t="s">
        <v>1516</v>
      </c>
      <c r="CX1" s="28" t="s">
        <v>1517</v>
      </c>
      <c r="CY1" s="28" t="s">
        <v>230</v>
      </c>
      <c r="CZ1" s="25" t="s">
        <v>231</v>
      </c>
      <c r="DB1" s="54" t="s">
        <v>226</v>
      </c>
      <c r="DC1" s="25" t="s">
        <v>227</v>
      </c>
      <c r="DD1" s="26" t="s">
        <v>228</v>
      </c>
      <c r="DE1" s="25" t="s">
        <v>1516</v>
      </c>
      <c r="DF1" s="28" t="s">
        <v>1517</v>
      </c>
      <c r="DG1" s="28" t="s">
        <v>230</v>
      </c>
      <c r="DH1" s="25" t="s">
        <v>231</v>
      </c>
      <c r="DJ1" s="54" t="s">
        <v>226</v>
      </c>
      <c r="DK1" s="25" t="s">
        <v>227</v>
      </c>
      <c r="DL1" s="26" t="s">
        <v>228</v>
      </c>
      <c r="DM1" s="25" t="s">
        <v>1516</v>
      </c>
      <c r="DN1" s="28" t="s">
        <v>1517</v>
      </c>
      <c r="DO1" s="28" t="s">
        <v>230</v>
      </c>
      <c r="DP1" s="25" t="s">
        <v>231</v>
      </c>
      <c r="DR1" s="54" t="s">
        <v>226</v>
      </c>
      <c r="DS1" s="25" t="s">
        <v>227</v>
      </c>
      <c r="DT1" s="26" t="s">
        <v>228</v>
      </c>
      <c r="DU1" s="25" t="s">
        <v>1516</v>
      </c>
      <c r="DV1" s="28" t="s">
        <v>1517</v>
      </c>
      <c r="DW1" s="28" t="s">
        <v>230</v>
      </c>
      <c r="DX1" s="25" t="s">
        <v>231</v>
      </c>
      <c r="DZ1" s="54" t="s">
        <v>226</v>
      </c>
      <c r="EA1" s="25" t="s">
        <v>227</v>
      </c>
      <c r="EB1" s="26" t="s">
        <v>228</v>
      </c>
      <c r="EC1" s="25" t="s">
        <v>1516</v>
      </c>
      <c r="ED1" s="28" t="s">
        <v>1517</v>
      </c>
      <c r="EE1" s="28" t="s">
        <v>230</v>
      </c>
      <c r="EF1" s="25" t="s">
        <v>231</v>
      </c>
      <c r="EH1" s="54" t="s">
        <v>226</v>
      </c>
      <c r="EI1" s="25" t="s">
        <v>227</v>
      </c>
      <c r="EJ1" s="26" t="s">
        <v>228</v>
      </c>
      <c r="EK1" s="25" t="s">
        <v>1516</v>
      </c>
      <c r="EL1" s="28" t="s">
        <v>1517</v>
      </c>
      <c r="EM1" s="28" t="s">
        <v>230</v>
      </c>
      <c r="EN1" s="25" t="s">
        <v>231</v>
      </c>
      <c r="EP1" s="54" t="s">
        <v>226</v>
      </c>
      <c r="EQ1" s="25" t="s">
        <v>227</v>
      </c>
      <c r="ER1" s="26" t="s">
        <v>228</v>
      </c>
      <c r="ES1" s="25" t="s">
        <v>1516</v>
      </c>
      <c r="ET1" s="28" t="s">
        <v>1517</v>
      </c>
      <c r="EU1" s="28" t="s">
        <v>230</v>
      </c>
      <c r="EV1" s="25" t="s">
        <v>231</v>
      </c>
      <c r="EX1" s="54" t="s">
        <v>226</v>
      </c>
      <c r="EY1" s="25" t="s">
        <v>227</v>
      </c>
      <c r="EZ1" s="26" t="s">
        <v>228</v>
      </c>
      <c r="FA1" s="25" t="s">
        <v>1516</v>
      </c>
      <c r="FB1" s="28" t="s">
        <v>1517</v>
      </c>
      <c r="FC1" s="28" t="s">
        <v>230</v>
      </c>
      <c r="FD1" s="25" t="s">
        <v>231</v>
      </c>
      <c r="FF1" s="54" t="s">
        <v>226</v>
      </c>
      <c r="FG1" s="25" t="s">
        <v>227</v>
      </c>
      <c r="FH1" s="26" t="s">
        <v>228</v>
      </c>
      <c r="FI1" s="25" t="s">
        <v>1516</v>
      </c>
      <c r="FJ1" s="28" t="s">
        <v>1517</v>
      </c>
      <c r="FK1" s="28" t="s">
        <v>230</v>
      </c>
      <c r="FL1" s="25" t="s">
        <v>231</v>
      </c>
      <c r="FN1" s="54" t="s">
        <v>226</v>
      </c>
      <c r="FO1" s="25" t="s">
        <v>227</v>
      </c>
      <c r="FP1" s="26" t="s">
        <v>228</v>
      </c>
      <c r="FQ1" s="25" t="s">
        <v>1516</v>
      </c>
      <c r="FR1" s="28" t="s">
        <v>1517</v>
      </c>
      <c r="FS1" s="28" t="s">
        <v>230</v>
      </c>
      <c r="FT1" s="25" t="s">
        <v>231</v>
      </c>
      <c r="FV1" s="54" t="s">
        <v>226</v>
      </c>
      <c r="FW1" s="25" t="s">
        <v>227</v>
      </c>
      <c r="FX1" s="26" t="s">
        <v>228</v>
      </c>
      <c r="FY1" s="25" t="s">
        <v>1516</v>
      </c>
      <c r="FZ1" s="28" t="s">
        <v>1517</v>
      </c>
      <c r="GA1" s="28" t="s">
        <v>230</v>
      </c>
      <c r="GB1" s="25" t="s">
        <v>231</v>
      </c>
    </row>
    <row r="2" spans="2:184">
      <c r="N2" s="98"/>
      <c r="FO2" s="23"/>
    </row>
    <row r="3" spans="2:184">
      <c r="B3" s="25">
        <v>1</v>
      </c>
      <c r="C3" s="51" t="s">
        <v>1789</v>
      </c>
      <c r="D3" s="25" t="s">
        <v>1790</v>
      </c>
      <c r="E3" s="25">
        <v>1</v>
      </c>
      <c r="F3" s="25" t="s">
        <v>1791</v>
      </c>
      <c r="I3" s="25" t="s">
        <v>1792</v>
      </c>
      <c r="K3" s="25" t="s">
        <v>1793</v>
      </c>
      <c r="L3" s="25" t="s">
        <v>1794</v>
      </c>
      <c r="M3" s="25" t="s">
        <v>1795</v>
      </c>
      <c r="N3" s="339">
        <v>2650</v>
      </c>
      <c r="O3" s="339">
        <v>1410</v>
      </c>
      <c r="P3" s="29">
        <v>0.12</v>
      </c>
      <c r="S3" s="25" t="s">
        <v>1796</v>
      </c>
      <c r="T3" s="25" t="s">
        <v>1797</v>
      </c>
      <c r="U3" s="25" t="s">
        <v>1795</v>
      </c>
      <c r="V3" s="339">
        <v>3050</v>
      </c>
      <c r="W3" s="326">
        <v>2410</v>
      </c>
      <c r="X3" s="29">
        <v>0.23</v>
      </c>
      <c r="AA3" s="25" t="s">
        <v>1798</v>
      </c>
      <c r="AB3" s="25" t="s">
        <v>1799</v>
      </c>
      <c r="AC3" s="78" t="s">
        <v>1800</v>
      </c>
      <c r="AD3" s="339">
        <v>2640</v>
      </c>
      <c r="AE3" s="339">
        <v>1980</v>
      </c>
      <c r="AF3" s="29">
        <v>0.12</v>
      </c>
      <c r="AI3" s="25" t="s">
        <v>1801</v>
      </c>
      <c r="AJ3" s="25" t="s">
        <v>1799</v>
      </c>
      <c r="AK3" s="25" t="s">
        <v>93</v>
      </c>
      <c r="AL3" s="340">
        <v>3710</v>
      </c>
      <c r="AM3" s="340">
        <v>2800</v>
      </c>
      <c r="AN3" s="29">
        <v>0.12</v>
      </c>
      <c r="AQ3" s="25" t="s">
        <v>1802</v>
      </c>
      <c r="AR3" s="25" t="s">
        <v>1803</v>
      </c>
      <c r="AS3" s="25" t="s">
        <v>1795</v>
      </c>
      <c r="AT3" s="339">
        <v>250</v>
      </c>
      <c r="AU3" s="339">
        <v>160</v>
      </c>
      <c r="AV3" s="29">
        <v>0.06</v>
      </c>
      <c r="AW3" s="29"/>
      <c r="AY3" s="25" t="s">
        <v>1804</v>
      </c>
      <c r="AZ3" s="25" t="s">
        <v>1805</v>
      </c>
      <c r="BA3" s="25" t="s">
        <v>85</v>
      </c>
      <c r="BB3" s="102">
        <v>43560</v>
      </c>
      <c r="BC3" s="102">
        <v>31370</v>
      </c>
      <c r="BD3" s="31">
        <v>12</v>
      </c>
      <c r="BG3" s="78" t="s">
        <v>1806</v>
      </c>
      <c r="BH3" s="78" t="s">
        <v>1807</v>
      </c>
      <c r="BI3" s="78" t="s">
        <v>1808</v>
      </c>
      <c r="BJ3" s="339">
        <v>6510</v>
      </c>
      <c r="BK3" s="339">
        <v>4230</v>
      </c>
      <c r="BL3" s="25">
        <v>0.08</v>
      </c>
      <c r="BO3" s="25" t="s">
        <v>1809</v>
      </c>
      <c r="BP3" s="83" t="s">
        <v>1810</v>
      </c>
      <c r="BQ3" s="25" t="s">
        <v>947</v>
      </c>
      <c r="BR3" s="339">
        <v>5810</v>
      </c>
      <c r="BS3" s="339">
        <v>3780</v>
      </c>
      <c r="BT3" s="29">
        <v>0.08</v>
      </c>
      <c r="BW3" s="78" t="s">
        <v>1811</v>
      </c>
      <c r="BX3" s="83" t="s">
        <v>1812</v>
      </c>
      <c r="BY3" s="78" t="s">
        <v>1808</v>
      </c>
      <c r="BZ3" s="339">
        <v>27100</v>
      </c>
      <c r="CA3" s="339">
        <v>17620</v>
      </c>
      <c r="CB3" s="103">
        <v>0.1</v>
      </c>
      <c r="CE3" s="83" t="s">
        <v>1813</v>
      </c>
      <c r="CF3" s="78" t="s">
        <v>1807</v>
      </c>
      <c r="CG3" s="78" t="s">
        <v>1808</v>
      </c>
      <c r="CH3" s="339">
        <v>7000</v>
      </c>
      <c r="CI3" s="339">
        <v>4550</v>
      </c>
      <c r="CJ3" s="103">
        <v>0.08</v>
      </c>
      <c r="CM3" s="25" t="s">
        <v>1814</v>
      </c>
      <c r="CN3" s="25" t="s">
        <v>1799</v>
      </c>
      <c r="CO3" s="25" t="s">
        <v>947</v>
      </c>
      <c r="CP3" s="337">
        <v>12200</v>
      </c>
      <c r="CQ3" s="339">
        <v>7930</v>
      </c>
      <c r="CR3" s="29">
        <v>0.08</v>
      </c>
      <c r="CU3" s="25" t="s">
        <v>1815</v>
      </c>
      <c r="CV3" s="25" t="s">
        <v>1799</v>
      </c>
      <c r="CW3" s="25" t="s">
        <v>947</v>
      </c>
      <c r="CX3" s="339">
        <v>7660</v>
      </c>
      <c r="CY3" s="339">
        <v>4980</v>
      </c>
      <c r="CZ3" s="29">
        <v>0.08</v>
      </c>
      <c r="DC3" s="25" t="s">
        <v>1816</v>
      </c>
      <c r="DD3" s="25" t="s">
        <v>1799</v>
      </c>
      <c r="DE3" s="25" t="s">
        <v>947</v>
      </c>
      <c r="DF3" s="339">
        <v>6080</v>
      </c>
      <c r="DG3" s="339">
        <v>3950</v>
      </c>
      <c r="DH3" s="103">
        <v>0.08</v>
      </c>
      <c r="DK3" s="83" t="s">
        <v>1817</v>
      </c>
      <c r="DL3" s="25" t="s">
        <v>1799</v>
      </c>
      <c r="DM3" s="25" t="s">
        <v>1818</v>
      </c>
      <c r="DN3" s="339">
        <v>24400</v>
      </c>
      <c r="DO3" s="339">
        <v>15860</v>
      </c>
      <c r="DP3" s="29">
        <v>0.08</v>
      </c>
      <c r="DS3" s="25" t="s">
        <v>1819</v>
      </c>
      <c r="DT3" s="25" t="s">
        <v>1820</v>
      </c>
      <c r="DU3" s="25" t="s">
        <v>1821</v>
      </c>
      <c r="DV3" s="326">
        <v>3700</v>
      </c>
      <c r="DW3" s="326">
        <v>1700</v>
      </c>
      <c r="DX3" s="29">
        <v>0.12</v>
      </c>
      <c r="EA3" s="25" t="s">
        <v>1822</v>
      </c>
      <c r="EB3" s="25" t="s">
        <v>1823</v>
      </c>
      <c r="EC3" s="25" t="s">
        <v>1824</v>
      </c>
      <c r="ED3" s="326">
        <v>79600</v>
      </c>
      <c r="EE3" s="326">
        <f>ED3*0.55</f>
        <v>43780</v>
      </c>
      <c r="EF3" s="29">
        <v>0.62</v>
      </c>
      <c r="EI3" s="25" t="s">
        <v>1825</v>
      </c>
      <c r="EJ3" s="25" t="s">
        <v>1826</v>
      </c>
      <c r="EK3" s="25" t="s">
        <v>1824</v>
      </c>
      <c r="EL3" s="326">
        <v>126000</v>
      </c>
      <c r="EM3" s="339">
        <f>EL3*0.65</f>
        <v>81900</v>
      </c>
      <c r="EN3" s="29">
        <v>1.1399999999999999</v>
      </c>
      <c r="EQ3" s="25" t="s">
        <v>1827</v>
      </c>
      <c r="ER3" s="25" t="s">
        <v>1828</v>
      </c>
      <c r="ES3" s="25" t="s">
        <v>947</v>
      </c>
      <c r="ET3" s="349">
        <v>11700</v>
      </c>
      <c r="EU3" s="349">
        <v>6210</v>
      </c>
      <c r="EV3" s="29">
        <v>0.08</v>
      </c>
      <c r="EX3" s="338" t="s">
        <v>1829</v>
      </c>
      <c r="EY3" s="25" t="s">
        <v>1830</v>
      </c>
      <c r="EZ3" s="25" t="s">
        <v>1831</v>
      </c>
      <c r="FA3" s="25" t="s">
        <v>77</v>
      </c>
      <c r="FB3" s="326">
        <v>16500</v>
      </c>
      <c r="FC3" s="326">
        <v>4670</v>
      </c>
      <c r="FD3" s="29">
        <v>0.3</v>
      </c>
      <c r="FG3" s="25" t="s">
        <v>1832</v>
      </c>
      <c r="FH3" s="25" t="s">
        <v>1799</v>
      </c>
      <c r="FI3" s="25" t="s">
        <v>1833</v>
      </c>
      <c r="FJ3" s="104">
        <v>7680</v>
      </c>
      <c r="FK3" s="104">
        <v>5150</v>
      </c>
      <c r="FL3" s="29">
        <v>0</v>
      </c>
      <c r="FO3" s="25" t="s">
        <v>1834</v>
      </c>
      <c r="FP3" s="25" t="s">
        <v>1799</v>
      </c>
      <c r="FQ3" s="25" t="s">
        <v>1833</v>
      </c>
      <c r="FR3" s="184">
        <v>3690</v>
      </c>
      <c r="FS3" s="184">
        <v>2270</v>
      </c>
      <c r="FT3" s="29">
        <v>0</v>
      </c>
      <c r="FW3" s="25" t="s">
        <v>1835</v>
      </c>
      <c r="FX3" s="25" t="s">
        <v>1799</v>
      </c>
      <c r="FY3" s="25" t="s">
        <v>1836</v>
      </c>
      <c r="FZ3" s="326">
        <v>370</v>
      </c>
      <c r="GA3" s="326">
        <v>260</v>
      </c>
      <c r="GB3" s="29">
        <v>0.04</v>
      </c>
    </row>
    <row r="4" spans="2:184">
      <c r="B4" s="25">
        <v>2</v>
      </c>
      <c r="C4" s="51" t="s">
        <v>1796</v>
      </c>
      <c r="D4" s="25" t="s">
        <v>1837</v>
      </c>
      <c r="E4" s="25">
        <v>2</v>
      </c>
      <c r="F4" s="25" t="s">
        <v>1838</v>
      </c>
      <c r="I4" s="25">
        <v>2.2999999999999998</v>
      </c>
      <c r="K4" s="25" t="s">
        <v>1793</v>
      </c>
      <c r="L4" s="25" t="s">
        <v>1839</v>
      </c>
      <c r="M4" s="25" t="s">
        <v>1795</v>
      </c>
      <c r="N4" s="339">
        <v>3260</v>
      </c>
      <c r="O4" s="339">
        <v>1720</v>
      </c>
      <c r="P4" s="29">
        <v>0.14000000000000001</v>
      </c>
      <c r="S4" s="25" t="s">
        <v>1796</v>
      </c>
      <c r="T4" s="25" t="s">
        <v>1840</v>
      </c>
      <c r="U4" s="25" t="s">
        <v>1795</v>
      </c>
      <c r="V4" s="339">
        <v>4170</v>
      </c>
      <c r="W4" s="326">
        <v>3350</v>
      </c>
      <c r="X4" s="29">
        <v>0.28999999999999998</v>
      </c>
      <c r="AA4" s="25" t="s">
        <v>1798</v>
      </c>
      <c r="AB4" s="25" t="s">
        <v>1841</v>
      </c>
      <c r="AC4" s="78" t="s">
        <v>1800</v>
      </c>
      <c r="AD4" s="339">
        <v>3040</v>
      </c>
      <c r="AE4" s="339">
        <v>2280</v>
      </c>
      <c r="AF4" s="29">
        <v>0.14000000000000001</v>
      </c>
      <c r="AI4" s="25" t="s">
        <v>1801</v>
      </c>
      <c r="AJ4" s="25" t="s">
        <v>1841</v>
      </c>
      <c r="AK4" s="25" t="s">
        <v>93</v>
      </c>
      <c r="AL4" s="340">
        <v>4510</v>
      </c>
      <c r="AM4" s="340">
        <v>3400</v>
      </c>
      <c r="AN4" s="29">
        <v>0.14000000000000001</v>
      </c>
      <c r="AQ4" s="25" t="s">
        <v>1802</v>
      </c>
      <c r="AR4" s="25" t="s">
        <v>1842</v>
      </c>
      <c r="AS4" s="25" t="s">
        <v>1795</v>
      </c>
      <c r="AT4" s="339">
        <v>360</v>
      </c>
      <c r="AU4" s="339">
        <v>240</v>
      </c>
      <c r="AV4" s="105">
        <v>7.0000000000000007E-2</v>
      </c>
      <c r="AW4" s="29"/>
      <c r="AY4" s="25" t="s">
        <v>1804</v>
      </c>
      <c r="AZ4" s="25" t="s">
        <v>1843</v>
      </c>
      <c r="BA4" s="25" t="s">
        <v>85</v>
      </c>
      <c r="BB4" s="346">
        <v>24300</v>
      </c>
      <c r="BC4" s="346">
        <v>17740</v>
      </c>
      <c r="BD4" s="31">
        <v>7.2</v>
      </c>
      <c r="BG4" s="78" t="s">
        <v>1806</v>
      </c>
      <c r="BH4" s="78" t="s">
        <v>1844</v>
      </c>
      <c r="BI4" s="78" t="s">
        <v>1808</v>
      </c>
      <c r="BJ4" s="339">
        <v>8690</v>
      </c>
      <c r="BK4" s="339">
        <v>5650</v>
      </c>
      <c r="BL4" s="25">
        <v>0.09</v>
      </c>
      <c r="BO4" s="25" t="s">
        <v>1809</v>
      </c>
      <c r="BP4" s="83" t="s">
        <v>1845</v>
      </c>
      <c r="BQ4" s="25" t="s">
        <v>947</v>
      </c>
      <c r="BR4" s="339">
        <v>7430</v>
      </c>
      <c r="BS4" s="339">
        <v>4830</v>
      </c>
      <c r="BT4" s="29">
        <v>0.09</v>
      </c>
      <c r="BW4" s="78" t="s">
        <v>1811</v>
      </c>
      <c r="BX4" s="83" t="s">
        <v>1846</v>
      </c>
      <c r="BY4" s="78" t="s">
        <v>1808</v>
      </c>
      <c r="BZ4" s="339">
        <v>28400</v>
      </c>
      <c r="CA4" s="339">
        <v>18460</v>
      </c>
      <c r="CB4" s="103">
        <v>0.19</v>
      </c>
      <c r="CE4" s="83" t="s">
        <v>1813</v>
      </c>
      <c r="CF4" s="78" t="s">
        <v>1844</v>
      </c>
      <c r="CG4" s="78" t="s">
        <v>1808</v>
      </c>
      <c r="CH4" s="339">
        <v>9150</v>
      </c>
      <c r="CI4" s="339">
        <v>5950</v>
      </c>
      <c r="CJ4" s="103">
        <v>0.09</v>
      </c>
      <c r="CM4" s="25" t="s">
        <v>1814</v>
      </c>
      <c r="CN4" s="25" t="s">
        <v>1841</v>
      </c>
      <c r="CO4" s="25" t="s">
        <v>947</v>
      </c>
      <c r="CP4" s="337">
        <v>13900</v>
      </c>
      <c r="CQ4" s="339">
        <v>9040</v>
      </c>
      <c r="CR4" s="29">
        <v>0.09</v>
      </c>
      <c r="CU4" s="25" t="s">
        <v>1815</v>
      </c>
      <c r="CV4" s="25" t="s">
        <v>1841</v>
      </c>
      <c r="CW4" s="25" t="s">
        <v>947</v>
      </c>
      <c r="CX4" s="339">
        <v>9100</v>
      </c>
      <c r="CY4" s="339">
        <v>5920</v>
      </c>
      <c r="CZ4" s="29">
        <v>0.09</v>
      </c>
      <c r="DC4" s="25" t="s">
        <v>1816</v>
      </c>
      <c r="DD4" s="25" t="s">
        <v>1841</v>
      </c>
      <c r="DE4" s="25" t="s">
        <v>947</v>
      </c>
      <c r="DF4" s="339">
        <v>7750</v>
      </c>
      <c r="DG4" s="339">
        <v>5040</v>
      </c>
      <c r="DH4" s="103">
        <v>0.09</v>
      </c>
      <c r="DK4" s="83" t="s">
        <v>1817</v>
      </c>
      <c r="DL4" s="25" t="s">
        <v>1841</v>
      </c>
      <c r="DM4" s="25" t="s">
        <v>1818</v>
      </c>
      <c r="DN4" s="339">
        <v>26500</v>
      </c>
      <c r="DO4" s="339">
        <v>17230</v>
      </c>
      <c r="DP4" s="29">
        <v>0.09</v>
      </c>
      <c r="DS4" s="25" t="s">
        <v>1819</v>
      </c>
      <c r="DT4" s="25" t="s">
        <v>1847</v>
      </c>
      <c r="DU4" s="25" t="s">
        <v>1821</v>
      </c>
      <c r="DV4" s="326">
        <v>4700</v>
      </c>
      <c r="DW4" s="326">
        <v>2160</v>
      </c>
      <c r="DX4" s="29">
        <v>0.12</v>
      </c>
      <c r="EA4" s="25" t="s">
        <v>1822</v>
      </c>
      <c r="EB4" s="25" t="s">
        <v>1848</v>
      </c>
      <c r="EC4" s="25" t="s">
        <v>1824</v>
      </c>
      <c r="ED4" s="326">
        <v>82600</v>
      </c>
      <c r="EE4" s="326">
        <f t="shared" ref="EE4:EE14" si="0">ED4*0.55</f>
        <v>45430.000000000007</v>
      </c>
      <c r="EF4" s="29">
        <v>0.84</v>
      </c>
      <c r="EI4" s="25" t="s">
        <v>1849</v>
      </c>
      <c r="EJ4" s="25" t="s">
        <v>1850</v>
      </c>
      <c r="EK4" s="25" t="s">
        <v>1824</v>
      </c>
      <c r="EL4" s="326">
        <v>126000</v>
      </c>
      <c r="EM4" s="339">
        <f t="shared" ref="EM4" si="1">EL4*0.65</f>
        <v>81900</v>
      </c>
      <c r="EN4" s="29">
        <v>1.35</v>
      </c>
      <c r="EQ4" s="25" t="s">
        <v>1827</v>
      </c>
      <c r="ER4" s="25" t="s">
        <v>1851</v>
      </c>
      <c r="ES4" s="25" t="s">
        <v>947</v>
      </c>
      <c r="ET4" s="349">
        <v>11700</v>
      </c>
      <c r="EU4" s="349">
        <v>6210</v>
      </c>
      <c r="EV4" s="29">
        <v>0.08</v>
      </c>
      <c r="EX4" s="338" t="s">
        <v>1852</v>
      </c>
      <c r="EY4" s="25" t="s">
        <v>1853</v>
      </c>
      <c r="EZ4" s="25" t="s">
        <v>1854</v>
      </c>
      <c r="FA4" s="25" t="s">
        <v>77</v>
      </c>
      <c r="FB4" s="326">
        <v>32100</v>
      </c>
      <c r="FC4" s="326">
        <v>7240</v>
      </c>
      <c r="FD4" s="29">
        <v>0.5</v>
      </c>
      <c r="FG4" s="25" t="s">
        <v>1855</v>
      </c>
      <c r="FH4" s="25" t="s">
        <v>1841</v>
      </c>
      <c r="FI4" s="25" t="s">
        <v>1833</v>
      </c>
      <c r="FJ4" s="104">
        <v>7920</v>
      </c>
      <c r="FK4" s="104">
        <v>5310</v>
      </c>
      <c r="FL4" s="29">
        <v>0</v>
      </c>
      <c r="FO4" s="25" t="s">
        <v>1856</v>
      </c>
      <c r="FP4" s="25" t="s">
        <v>1841</v>
      </c>
      <c r="FQ4" s="25" t="s">
        <v>1833</v>
      </c>
      <c r="FR4" s="184">
        <v>3780</v>
      </c>
      <c r="FS4" s="184">
        <v>2340</v>
      </c>
      <c r="FT4" s="29">
        <v>0</v>
      </c>
      <c r="FW4" s="25" t="s">
        <v>1835</v>
      </c>
      <c r="FX4" s="25" t="s">
        <v>1841</v>
      </c>
      <c r="FY4" s="25" t="s">
        <v>1836</v>
      </c>
      <c r="FZ4" s="326">
        <v>390</v>
      </c>
      <c r="GA4" s="326">
        <v>310</v>
      </c>
      <c r="GB4" s="29">
        <v>0.04</v>
      </c>
    </row>
    <row r="5" spans="2:184">
      <c r="B5" s="25">
        <v>3</v>
      </c>
      <c r="C5" s="51" t="s">
        <v>1857</v>
      </c>
      <c r="D5" s="25" t="s">
        <v>1858</v>
      </c>
      <c r="E5" s="25">
        <v>3</v>
      </c>
      <c r="F5" s="25" t="s">
        <v>1859</v>
      </c>
      <c r="I5" s="25">
        <v>0.15</v>
      </c>
      <c r="K5" s="25" t="s">
        <v>1793</v>
      </c>
      <c r="L5" s="25" t="s">
        <v>1860</v>
      </c>
      <c r="M5" s="25" t="s">
        <v>1795</v>
      </c>
      <c r="N5" s="339">
        <v>4540</v>
      </c>
      <c r="O5" s="339">
        <v>2400</v>
      </c>
      <c r="P5" s="29">
        <v>0.17</v>
      </c>
      <c r="S5" s="25" t="s">
        <v>1796</v>
      </c>
      <c r="T5" s="25" t="s">
        <v>1861</v>
      </c>
      <c r="U5" s="25" t="s">
        <v>1795</v>
      </c>
      <c r="V5" s="339">
        <v>5880</v>
      </c>
      <c r="W5" s="326">
        <v>4730</v>
      </c>
      <c r="X5" s="29">
        <v>0.37</v>
      </c>
      <c r="AA5" s="25" t="s">
        <v>1798</v>
      </c>
      <c r="AB5" s="25" t="s">
        <v>1862</v>
      </c>
      <c r="AC5" s="78" t="s">
        <v>1800</v>
      </c>
      <c r="AD5" s="339">
        <v>3680</v>
      </c>
      <c r="AE5" s="339">
        <v>2760</v>
      </c>
      <c r="AF5" s="29">
        <v>0.17</v>
      </c>
      <c r="AI5" s="25" t="s">
        <v>1801</v>
      </c>
      <c r="AJ5" s="25" t="s">
        <v>1862</v>
      </c>
      <c r="AK5" s="25" t="s">
        <v>93</v>
      </c>
      <c r="AL5" s="340">
        <v>5450</v>
      </c>
      <c r="AM5" s="340">
        <v>4090</v>
      </c>
      <c r="AN5" s="29">
        <v>0.14000000000000001</v>
      </c>
      <c r="AQ5" s="25" t="s">
        <v>1802</v>
      </c>
      <c r="AR5" s="25" t="s">
        <v>1863</v>
      </c>
      <c r="AS5" s="25" t="s">
        <v>1795</v>
      </c>
      <c r="AT5" s="339">
        <v>420</v>
      </c>
      <c r="AU5" s="339">
        <v>270</v>
      </c>
      <c r="AV5" s="29">
        <v>7.0000000000000007E-2</v>
      </c>
      <c r="AW5" s="29"/>
      <c r="AY5" s="25" t="s">
        <v>1804</v>
      </c>
      <c r="AZ5" s="25" t="s">
        <v>1864</v>
      </c>
      <c r="BA5" s="25" t="s">
        <v>85</v>
      </c>
      <c r="BB5" s="346">
        <v>31380</v>
      </c>
      <c r="BC5" s="346">
        <v>22900</v>
      </c>
      <c r="BD5" s="31">
        <v>8.4</v>
      </c>
      <c r="BG5" s="78" t="s">
        <v>1806</v>
      </c>
      <c r="BH5" s="78" t="s">
        <v>1865</v>
      </c>
      <c r="BI5" s="78" t="s">
        <v>1808</v>
      </c>
      <c r="BJ5" s="339">
        <v>11900</v>
      </c>
      <c r="BK5" s="339">
        <v>7740</v>
      </c>
      <c r="BL5" s="25">
        <v>0.12</v>
      </c>
      <c r="BO5" s="25" t="s">
        <v>1809</v>
      </c>
      <c r="BP5" s="83" t="s">
        <v>1866</v>
      </c>
      <c r="BQ5" s="25" t="s">
        <v>947</v>
      </c>
      <c r="BR5" s="339">
        <v>11400</v>
      </c>
      <c r="BS5" s="339">
        <v>7410</v>
      </c>
      <c r="BT5" s="29">
        <v>0.12</v>
      </c>
      <c r="BW5" s="78" t="s">
        <v>1811</v>
      </c>
      <c r="BX5" s="83" t="s">
        <v>1867</v>
      </c>
      <c r="BY5" s="78" t="s">
        <v>1808</v>
      </c>
      <c r="BZ5" s="339">
        <v>33000</v>
      </c>
      <c r="CA5" s="339">
        <v>21450</v>
      </c>
      <c r="CB5" s="103">
        <v>0.23</v>
      </c>
      <c r="CE5" s="83" t="s">
        <v>1813</v>
      </c>
      <c r="CF5" s="78" t="s">
        <v>1865</v>
      </c>
      <c r="CG5" s="78" t="s">
        <v>1808</v>
      </c>
      <c r="CH5" s="339">
        <v>13000</v>
      </c>
      <c r="CI5" s="339">
        <v>8450</v>
      </c>
      <c r="CJ5" s="103">
        <v>0.12</v>
      </c>
      <c r="CM5" s="25" t="s">
        <v>1814</v>
      </c>
      <c r="CN5" s="25" t="s">
        <v>1862</v>
      </c>
      <c r="CO5" s="25" t="s">
        <v>947</v>
      </c>
      <c r="CP5" s="337">
        <v>17500</v>
      </c>
      <c r="CQ5" s="339">
        <v>11380</v>
      </c>
      <c r="CR5" s="29">
        <v>0.12</v>
      </c>
      <c r="CU5" s="25" t="s">
        <v>1815</v>
      </c>
      <c r="CV5" s="25" t="s">
        <v>1862</v>
      </c>
      <c r="CW5" s="25" t="s">
        <v>947</v>
      </c>
      <c r="CX5" s="339">
        <v>12400</v>
      </c>
      <c r="CY5" s="339">
        <v>8060</v>
      </c>
      <c r="CZ5" s="29">
        <v>0.12</v>
      </c>
      <c r="DC5" s="25" t="s">
        <v>1816</v>
      </c>
      <c r="DD5" s="25" t="s">
        <v>1862</v>
      </c>
      <c r="DE5" s="25" t="s">
        <v>947</v>
      </c>
      <c r="DF5" s="339">
        <v>12100</v>
      </c>
      <c r="DG5" s="339">
        <v>7870</v>
      </c>
      <c r="DH5" s="103">
        <v>0.12</v>
      </c>
      <c r="DK5" s="83" t="s">
        <v>1817</v>
      </c>
      <c r="DL5" s="25" t="s">
        <v>1862</v>
      </c>
      <c r="DM5" s="25" t="s">
        <v>1818</v>
      </c>
      <c r="DN5" s="339">
        <v>35100</v>
      </c>
      <c r="DO5" s="339">
        <v>22820</v>
      </c>
      <c r="DP5" s="29">
        <v>0.12</v>
      </c>
      <c r="DS5" s="25" t="s">
        <v>1819</v>
      </c>
      <c r="DT5" s="25" t="s">
        <v>1868</v>
      </c>
      <c r="DU5" s="25" t="s">
        <v>1821</v>
      </c>
      <c r="DV5" s="326">
        <v>5700</v>
      </c>
      <c r="DW5" s="326">
        <v>2620</v>
      </c>
      <c r="DX5" s="29">
        <v>0.14000000000000001</v>
      </c>
      <c r="EA5" s="25" t="s">
        <v>1822</v>
      </c>
      <c r="EB5" s="25" t="s">
        <v>1869</v>
      </c>
      <c r="EC5" s="25" t="s">
        <v>1824</v>
      </c>
      <c r="ED5" s="326">
        <v>93600</v>
      </c>
      <c r="EE5" s="326">
        <f t="shared" si="0"/>
        <v>51480.000000000007</v>
      </c>
      <c r="EF5" s="29">
        <v>0.86</v>
      </c>
      <c r="EI5" s="25" t="s">
        <v>1870</v>
      </c>
      <c r="EJ5" s="25" t="s">
        <v>1871</v>
      </c>
      <c r="EK5" s="25" t="s">
        <v>1824</v>
      </c>
      <c r="EL5" s="326">
        <v>158000</v>
      </c>
      <c r="EM5" s="339">
        <f t="shared" ref="EM5:EM11" si="2">EL5*0.65</f>
        <v>102700</v>
      </c>
      <c r="EN5" s="29">
        <v>1.85</v>
      </c>
      <c r="EQ5" s="25" t="s">
        <v>1827</v>
      </c>
      <c r="ER5" s="25" t="s">
        <v>1872</v>
      </c>
      <c r="ES5" s="25" t="s">
        <v>947</v>
      </c>
      <c r="ET5" s="349">
        <v>14040</v>
      </c>
      <c r="EU5" s="349">
        <v>7440</v>
      </c>
      <c r="EV5" s="29">
        <v>0.08</v>
      </c>
      <c r="EX5" s="338" t="s">
        <v>1873</v>
      </c>
      <c r="EY5" s="25" t="s">
        <v>1853</v>
      </c>
      <c r="EZ5" s="25" t="s">
        <v>1874</v>
      </c>
      <c r="FA5" s="25" t="s">
        <v>77</v>
      </c>
      <c r="FB5" s="326">
        <v>46600</v>
      </c>
      <c r="FC5" s="326">
        <v>11250</v>
      </c>
      <c r="FD5" s="29">
        <v>0.8</v>
      </c>
      <c r="FG5" s="25" t="s">
        <v>1855</v>
      </c>
      <c r="FH5" s="25" t="s">
        <v>1862</v>
      </c>
      <c r="FI5" s="25" t="s">
        <v>1833</v>
      </c>
      <c r="FJ5" s="104">
        <v>8040</v>
      </c>
      <c r="FK5" s="104">
        <v>5390</v>
      </c>
      <c r="FL5" s="29">
        <v>0</v>
      </c>
      <c r="FO5" s="51" t="s">
        <v>1856</v>
      </c>
      <c r="FP5" s="51" t="s">
        <v>1862</v>
      </c>
      <c r="FQ5" s="51" t="s">
        <v>1833</v>
      </c>
      <c r="FR5" s="184">
        <v>4140</v>
      </c>
      <c r="FS5" s="184">
        <v>2570</v>
      </c>
      <c r="FT5" s="29">
        <v>0</v>
      </c>
      <c r="FW5" s="25" t="s">
        <v>1835</v>
      </c>
      <c r="FX5" s="25" t="s">
        <v>1862</v>
      </c>
      <c r="FY5" s="25" t="s">
        <v>1836</v>
      </c>
      <c r="FZ5" s="326">
        <v>470</v>
      </c>
      <c r="GA5" s="326">
        <v>340</v>
      </c>
      <c r="GB5" s="29">
        <v>0.05</v>
      </c>
    </row>
    <row r="6" spans="2:184">
      <c r="B6" s="25">
        <v>4</v>
      </c>
      <c r="C6" s="51" t="s">
        <v>1875</v>
      </c>
      <c r="D6" s="25" t="s">
        <v>1876</v>
      </c>
      <c r="E6" s="25">
        <v>4</v>
      </c>
      <c r="F6" s="25" t="s">
        <v>1877</v>
      </c>
      <c r="K6" s="25" t="s">
        <v>1793</v>
      </c>
      <c r="L6" s="25" t="s">
        <v>1878</v>
      </c>
      <c r="M6" s="25" t="s">
        <v>1795</v>
      </c>
      <c r="N6" s="339">
        <v>6020</v>
      </c>
      <c r="O6" s="339">
        <v>3190</v>
      </c>
      <c r="P6" s="29">
        <v>0.21</v>
      </c>
      <c r="S6" s="25" t="s">
        <v>1796</v>
      </c>
      <c r="T6" s="25" t="s">
        <v>1879</v>
      </c>
      <c r="U6" s="25" t="s">
        <v>1795</v>
      </c>
      <c r="V6" s="339">
        <v>6900</v>
      </c>
      <c r="W6" s="326">
        <v>5530</v>
      </c>
      <c r="X6" s="29">
        <v>0.42</v>
      </c>
      <c r="AA6" s="25" t="s">
        <v>1798</v>
      </c>
      <c r="AB6" s="25" t="s">
        <v>1880</v>
      </c>
      <c r="AC6" s="78" t="s">
        <v>1800</v>
      </c>
      <c r="AD6" s="339">
        <v>4680</v>
      </c>
      <c r="AE6" s="339">
        <v>3510</v>
      </c>
      <c r="AF6" s="29">
        <v>0.21</v>
      </c>
      <c r="AI6" s="25" t="s">
        <v>1801</v>
      </c>
      <c r="AJ6" s="25" t="s">
        <v>1880</v>
      </c>
      <c r="AK6" s="25" t="s">
        <v>93</v>
      </c>
      <c r="AL6" s="340">
        <v>6890</v>
      </c>
      <c r="AM6" s="340">
        <v>5180</v>
      </c>
      <c r="AN6" s="29">
        <v>0.17</v>
      </c>
      <c r="AQ6" s="25" t="s">
        <v>1802</v>
      </c>
      <c r="AR6" s="25" t="s">
        <v>1881</v>
      </c>
      <c r="AS6" s="25" t="s">
        <v>1795</v>
      </c>
      <c r="AT6" s="339">
        <v>600</v>
      </c>
      <c r="AU6" s="339">
        <v>390</v>
      </c>
      <c r="AV6" s="29">
        <v>0.09</v>
      </c>
      <c r="AW6" s="29"/>
      <c r="AY6" s="25" t="s">
        <v>1804</v>
      </c>
      <c r="AZ6" s="25" t="s">
        <v>1882</v>
      </c>
      <c r="BA6" s="25" t="s">
        <v>85</v>
      </c>
      <c r="BB6" s="346">
        <v>32350</v>
      </c>
      <c r="BC6" s="346">
        <v>23620</v>
      </c>
      <c r="BD6" s="31">
        <v>8.1</v>
      </c>
      <c r="BG6" s="78" t="s">
        <v>1806</v>
      </c>
      <c r="BH6" s="78" t="s">
        <v>1883</v>
      </c>
      <c r="BI6" s="78" t="s">
        <v>1808</v>
      </c>
      <c r="BJ6" s="339">
        <v>20100</v>
      </c>
      <c r="BK6" s="339">
        <v>13070</v>
      </c>
      <c r="BL6" s="25">
        <v>0.14000000000000001</v>
      </c>
      <c r="BO6" s="25" t="s">
        <v>1809</v>
      </c>
      <c r="BP6" s="83" t="s">
        <v>1884</v>
      </c>
      <c r="BQ6" s="25" t="s">
        <v>947</v>
      </c>
      <c r="BR6" s="339">
        <v>16300</v>
      </c>
      <c r="BS6" s="339">
        <v>10600</v>
      </c>
      <c r="BT6" s="29">
        <v>0.14000000000000001</v>
      </c>
      <c r="BW6" s="78" t="s">
        <v>1811</v>
      </c>
      <c r="BX6" s="83" t="s">
        <v>1885</v>
      </c>
      <c r="BY6" s="78" t="s">
        <v>1808</v>
      </c>
      <c r="BZ6" s="339">
        <v>42600</v>
      </c>
      <c r="CA6" s="339">
        <v>27690</v>
      </c>
      <c r="CB6" s="103">
        <v>0.28000000000000003</v>
      </c>
      <c r="CE6" s="83" t="s">
        <v>1813</v>
      </c>
      <c r="CF6" s="78" t="s">
        <v>1883</v>
      </c>
      <c r="CG6" s="78" t="s">
        <v>1808</v>
      </c>
      <c r="CH6" s="339">
        <v>24000</v>
      </c>
      <c r="CI6" s="339">
        <v>15600</v>
      </c>
      <c r="CJ6" s="103">
        <v>0.14000000000000001</v>
      </c>
      <c r="CM6" s="25" t="s">
        <v>1814</v>
      </c>
      <c r="CN6" s="25" t="s">
        <v>1880</v>
      </c>
      <c r="CO6" s="25" t="s">
        <v>947</v>
      </c>
      <c r="CP6" s="337">
        <v>27600</v>
      </c>
      <c r="CQ6" s="339">
        <v>17940</v>
      </c>
      <c r="CR6" s="29">
        <v>0.14000000000000001</v>
      </c>
      <c r="CU6" s="25" t="s">
        <v>1815</v>
      </c>
      <c r="CV6" s="25" t="s">
        <v>1880</v>
      </c>
      <c r="CW6" s="25" t="s">
        <v>947</v>
      </c>
      <c r="CX6" s="339">
        <v>18600</v>
      </c>
      <c r="CY6" s="339">
        <v>12090</v>
      </c>
      <c r="CZ6" s="29">
        <v>0.14000000000000001</v>
      </c>
      <c r="DC6" s="25" t="s">
        <v>1816</v>
      </c>
      <c r="DD6" s="25" t="s">
        <v>1880</v>
      </c>
      <c r="DE6" s="25" t="s">
        <v>947</v>
      </c>
      <c r="DF6" s="339">
        <v>17800</v>
      </c>
      <c r="DG6" s="339">
        <v>11570</v>
      </c>
      <c r="DH6" s="103">
        <v>0.14000000000000001</v>
      </c>
      <c r="DK6" s="83" t="s">
        <v>1817</v>
      </c>
      <c r="DL6" s="25" t="s">
        <v>1880</v>
      </c>
      <c r="DM6" s="25" t="s">
        <v>1818</v>
      </c>
      <c r="DN6" s="339">
        <v>48400</v>
      </c>
      <c r="DO6" s="339">
        <v>31460</v>
      </c>
      <c r="DP6" s="29">
        <v>0.14000000000000001</v>
      </c>
      <c r="DS6" s="25" t="s">
        <v>1819</v>
      </c>
      <c r="DT6" s="25" t="s">
        <v>1886</v>
      </c>
      <c r="DU6" s="25" t="s">
        <v>1821</v>
      </c>
      <c r="DV6" s="326">
        <v>7300</v>
      </c>
      <c r="DW6" s="326">
        <v>3360</v>
      </c>
      <c r="DX6" s="29">
        <v>0.16</v>
      </c>
      <c r="EA6" s="25" t="s">
        <v>1822</v>
      </c>
      <c r="EB6" s="25" t="s">
        <v>1887</v>
      </c>
      <c r="EC6" s="25" t="s">
        <v>1824</v>
      </c>
      <c r="ED6" s="326">
        <v>107000</v>
      </c>
      <c r="EE6" s="326">
        <f t="shared" si="0"/>
        <v>58850.000000000007</v>
      </c>
      <c r="EF6" s="29">
        <v>0.88</v>
      </c>
      <c r="EI6" s="25" t="s">
        <v>1870</v>
      </c>
      <c r="EJ6" s="25" t="s">
        <v>1888</v>
      </c>
      <c r="EK6" s="25" t="s">
        <v>1824</v>
      </c>
      <c r="EL6" s="326">
        <v>159000</v>
      </c>
      <c r="EM6" s="339">
        <f t="shared" si="2"/>
        <v>103350</v>
      </c>
      <c r="EN6" s="29">
        <v>2.33</v>
      </c>
      <c r="EQ6" s="25" t="s">
        <v>1889</v>
      </c>
      <c r="ER6" s="25" t="s">
        <v>1890</v>
      </c>
      <c r="ES6" s="25" t="s">
        <v>947</v>
      </c>
      <c r="ET6" s="349">
        <v>23400</v>
      </c>
      <c r="EU6" s="349">
        <v>12410</v>
      </c>
      <c r="EV6" s="29">
        <v>0.08</v>
      </c>
      <c r="EX6" s="338" t="s">
        <v>1891</v>
      </c>
      <c r="EY6" s="25" t="s">
        <v>1853</v>
      </c>
      <c r="EZ6" s="25" t="s">
        <v>1892</v>
      </c>
      <c r="FA6" s="25" t="s">
        <v>77</v>
      </c>
      <c r="FB6" s="326">
        <v>11800</v>
      </c>
      <c r="FC6" s="326">
        <v>4430</v>
      </c>
      <c r="FD6" s="29">
        <v>0.3</v>
      </c>
      <c r="FG6" s="25" t="s">
        <v>1855</v>
      </c>
      <c r="FH6" s="25" t="s">
        <v>1880</v>
      </c>
      <c r="FI6" s="25" t="s">
        <v>1833</v>
      </c>
      <c r="FJ6" s="104">
        <v>8280</v>
      </c>
      <c r="FK6" s="104">
        <v>5550</v>
      </c>
      <c r="FL6" s="29">
        <v>0</v>
      </c>
      <c r="FO6" s="25" t="s">
        <v>1856</v>
      </c>
      <c r="FP6" s="25" t="s">
        <v>1880</v>
      </c>
      <c r="FQ6" s="25" t="s">
        <v>1833</v>
      </c>
      <c r="FR6" s="184">
        <v>4230</v>
      </c>
      <c r="FS6" s="184">
        <v>2630</v>
      </c>
      <c r="FT6" s="29">
        <v>0</v>
      </c>
      <c r="FW6" s="25" t="s">
        <v>1835</v>
      </c>
      <c r="FX6" s="25" t="s">
        <v>1880</v>
      </c>
      <c r="FY6" s="25" t="s">
        <v>1836</v>
      </c>
      <c r="FZ6" s="326">
        <v>600</v>
      </c>
      <c r="GA6" s="326">
        <v>440</v>
      </c>
      <c r="GB6" s="29">
        <v>0.05</v>
      </c>
    </row>
    <row r="7" spans="2:184">
      <c r="B7" s="25">
        <v>5</v>
      </c>
      <c r="C7" s="51" t="s">
        <v>1893</v>
      </c>
      <c r="D7" s="25" t="s">
        <v>1894</v>
      </c>
      <c r="E7" s="25">
        <v>5</v>
      </c>
      <c r="F7" s="25" t="s">
        <v>1895</v>
      </c>
      <c r="I7" s="25" t="s">
        <v>1896</v>
      </c>
      <c r="K7" s="25" t="s">
        <v>1793</v>
      </c>
      <c r="L7" s="25" t="s">
        <v>1897</v>
      </c>
      <c r="M7" s="25" t="s">
        <v>1795</v>
      </c>
      <c r="N7" s="339">
        <v>6910</v>
      </c>
      <c r="O7" s="339">
        <v>3660</v>
      </c>
      <c r="P7" s="29">
        <v>0.23</v>
      </c>
      <c r="S7" s="25" t="s">
        <v>1796</v>
      </c>
      <c r="T7" s="25" t="s">
        <v>1898</v>
      </c>
      <c r="U7" s="25" t="s">
        <v>1795</v>
      </c>
      <c r="V7" s="339">
        <v>9590</v>
      </c>
      <c r="W7" s="326">
        <v>7660</v>
      </c>
      <c r="X7" s="29">
        <v>0.56999999999999995</v>
      </c>
      <c r="AA7" s="25" t="s">
        <v>1798</v>
      </c>
      <c r="AB7" s="25" t="s">
        <v>1899</v>
      </c>
      <c r="AC7" s="78" t="s">
        <v>1800</v>
      </c>
      <c r="AD7" s="339">
        <v>5180</v>
      </c>
      <c r="AE7" s="339">
        <v>3890</v>
      </c>
      <c r="AF7" s="29">
        <v>0.23</v>
      </c>
      <c r="AI7" s="25" t="s">
        <v>1801</v>
      </c>
      <c r="AJ7" s="25" t="s">
        <v>1899</v>
      </c>
      <c r="AK7" s="25" t="s">
        <v>93</v>
      </c>
      <c r="AL7" s="340">
        <v>7660</v>
      </c>
      <c r="AM7" s="340">
        <v>5780</v>
      </c>
      <c r="AN7" s="29">
        <v>0.21</v>
      </c>
      <c r="AQ7" s="25" t="s">
        <v>1802</v>
      </c>
      <c r="AR7" s="25" t="s">
        <v>1900</v>
      </c>
      <c r="AS7" s="25" t="s">
        <v>1795</v>
      </c>
      <c r="AT7" s="339">
        <v>760</v>
      </c>
      <c r="AU7" s="339">
        <v>490</v>
      </c>
      <c r="AV7" s="29">
        <v>0.1</v>
      </c>
      <c r="AW7" s="29"/>
      <c r="AY7" s="25" t="s">
        <v>1804</v>
      </c>
      <c r="AZ7" s="25" t="s">
        <v>1901</v>
      </c>
      <c r="BA7" s="25" t="s">
        <v>85</v>
      </c>
      <c r="BB7" s="346">
        <v>43210</v>
      </c>
      <c r="BC7" s="346">
        <v>31540</v>
      </c>
      <c r="BD7" s="31">
        <v>9</v>
      </c>
      <c r="BG7" s="78" t="s">
        <v>1806</v>
      </c>
      <c r="BH7" s="78" t="s">
        <v>1902</v>
      </c>
      <c r="BI7" s="78" t="s">
        <v>1808</v>
      </c>
      <c r="BJ7" s="339">
        <v>26700</v>
      </c>
      <c r="BK7" s="339">
        <v>17360</v>
      </c>
      <c r="BL7" s="25">
        <v>0.16</v>
      </c>
      <c r="BO7" s="25" t="s">
        <v>1809</v>
      </c>
      <c r="BP7" s="83" t="s">
        <v>1903</v>
      </c>
      <c r="BQ7" s="25" t="s">
        <v>947</v>
      </c>
      <c r="BR7" s="339">
        <v>21200</v>
      </c>
      <c r="BS7" s="339">
        <v>13780</v>
      </c>
      <c r="BT7" s="29">
        <v>0.16</v>
      </c>
      <c r="BW7" s="78" t="s">
        <v>1811</v>
      </c>
      <c r="BX7" s="83" t="s">
        <v>1904</v>
      </c>
      <c r="BY7" s="78" t="s">
        <v>1808</v>
      </c>
      <c r="BZ7" s="339">
        <v>60600</v>
      </c>
      <c r="CA7" s="339">
        <v>39390</v>
      </c>
      <c r="CB7" s="103">
        <v>0.34</v>
      </c>
      <c r="CE7" s="83" t="s">
        <v>1813</v>
      </c>
      <c r="CF7" s="78" t="s">
        <v>1902</v>
      </c>
      <c r="CG7" s="78" t="s">
        <v>1808</v>
      </c>
      <c r="CH7" s="339">
        <v>27700</v>
      </c>
      <c r="CI7" s="339">
        <v>18010</v>
      </c>
      <c r="CJ7" s="103">
        <v>0.16</v>
      </c>
      <c r="CM7" s="25" t="s">
        <v>1814</v>
      </c>
      <c r="CN7" s="25" t="s">
        <v>1899</v>
      </c>
      <c r="CO7" s="25" t="s">
        <v>947</v>
      </c>
      <c r="CP7" s="337">
        <v>29200</v>
      </c>
      <c r="CQ7" s="339">
        <v>18980</v>
      </c>
      <c r="CR7" s="29">
        <v>0.16</v>
      </c>
      <c r="CU7" s="25" t="s">
        <v>1815</v>
      </c>
      <c r="CV7" s="25" t="s">
        <v>1899</v>
      </c>
      <c r="CW7" s="25" t="s">
        <v>947</v>
      </c>
      <c r="CX7" s="339">
        <v>22500</v>
      </c>
      <c r="CY7" s="339">
        <v>14630</v>
      </c>
      <c r="CZ7" s="29">
        <v>0.16</v>
      </c>
      <c r="DC7" s="25" t="s">
        <v>1816</v>
      </c>
      <c r="DD7" s="25" t="s">
        <v>1899</v>
      </c>
      <c r="DE7" s="25" t="s">
        <v>947</v>
      </c>
      <c r="DF7" s="339">
        <v>22200</v>
      </c>
      <c r="DG7" s="339">
        <v>14430</v>
      </c>
      <c r="DH7" s="106">
        <v>0.16</v>
      </c>
      <c r="DK7" s="83" t="s">
        <v>1817</v>
      </c>
      <c r="DL7" s="25" t="s">
        <v>1899</v>
      </c>
      <c r="DM7" s="25" t="s">
        <v>1818</v>
      </c>
      <c r="DN7" s="339">
        <v>61000</v>
      </c>
      <c r="DO7" s="339">
        <v>39650</v>
      </c>
      <c r="DP7" s="29">
        <v>0.16</v>
      </c>
      <c r="DS7" s="25" t="s">
        <v>1819</v>
      </c>
      <c r="DT7" s="25" t="s">
        <v>1905</v>
      </c>
      <c r="DU7" s="25" t="s">
        <v>1821</v>
      </c>
      <c r="DV7" s="326">
        <v>9100</v>
      </c>
      <c r="DW7" s="326">
        <v>4190</v>
      </c>
      <c r="DX7" s="29">
        <v>0.18</v>
      </c>
      <c r="EA7" s="25" t="s">
        <v>1822</v>
      </c>
      <c r="EB7" s="25" t="s">
        <v>1906</v>
      </c>
      <c r="EC7" s="25" t="s">
        <v>1824</v>
      </c>
      <c r="ED7" s="326">
        <v>121000</v>
      </c>
      <c r="EE7" s="326">
        <f t="shared" si="0"/>
        <v>66550</v>
      </c>
      <c r="EF7" s="29">
        <v>1.1200000000000001</v>
      </c>
      <c r="EI7" s="25" t="s">
        <v>1870</v>
      </c>
      <c r="EJ7" s="25" t="s">
        <v>1907</v>
      </c>
      <c r="EK7" s="25" t="s">
        <v>1824</v>
      </c>
      <c r="EL7" s="326">
        <v>184000</v>
      </c>
      <c r="EM7" s="339">
        <f t="shared" si="2"/>
        <v>119600</v>
      </c>
      <c r="EN7" s="29">
        <v>2.63</v>
      </c>
      <c r="EQ7" s="25" t="s">
        <v>1889</v>
      </c>
      <c r="ER7" s="25" t="s">
        <v>1908</v>
      </c>
      <c r="ES7" s="25" t="s">
        <v>947</v>
      </c>
      <c r="ET7" s="349">
        <v>21060</v>
      </c>
      <c r="EU7" s="349">
        <v>11180</v>
      </c>
      <c r="EV7" s="29">
        <v>0.08</v>
      </c>
      <c r="EX7" s="338" t="s">
        <v>1909</v>
      </c>
      <c r="EY7" s="25" t="s">
        <v>1853</v>
      </c>
      <c r="EZ7" s="25" t="s">
        <v>1910</v>
      </c>
      <c r="FA7" s="25" t="s">
        <v>77</v>
      </c>
      <c r="FB7" s="326">
        <v>18100</v>
      </c>
      <c r="FC7" s="326">
        <v>7390</v>
      </c>
      <c r="FD7" s="29">
        <v>0.4</v>
      </c>
      <c r="FG7" s="25" t="s">
        <v>1855</v>
      </c>
      <c r="FH7" s="25" t="s">
        <v>1899</v>
      </c>
      <c r="FI7" s="25" t="s">
        <v>1833</v>
      </c>
      <c r="FJ7" s="104">
        <v>8520</v>
      </c>
      <c r="FK7" s="104">
        <v>5720</v>
      </c>
      <c r="FL7" s="29">
        <v>0</v>
      </c>
      <c r="FO7" s="25" t="s">
        <v>1856</v>
      </c>
      <c r="FP7" s="25" t="s">
        <v>1899</v>
      </c>
      <c r="FQ7" s="25" t="s">
        <v>1833</v>
      </c>
      <c r="FR7" s="184">
        <v>4370</v>
      </c>
      <c r="FS7" s="184">
        <v>2690</v>
      </c>
      <c r="FT7" s="29">
        <v>0</v>
      </c>
      <c r="FW7" s="25" t="s">
        <v>1835</v>
      </c>
      <c r="FX7" s="25" t="s">
        <v>1899</v>
      </c>
      <c r="FY7" s="25" t="s">
        <v>1836</v>
      </c>
      <c r="FZ7" s="326">
        <v>680</v>
      </c>
      <c r="GA7" s="326">
        <v>480</v>
      </c>
      <c r="GB7" s="29">
        <v>0.06</v>
      </c>
    </row>
    <row r="8" spans="2:184">
      <c r="B8" s="25">
        <v>6</v>
      </c>
      <c r="C8" s="51" t="s">
        <v>1911</v>
      </c>
      <c r="D8" s="25" t="s">
        <v>1912</v>
      </c>
      <c r="E8" s="25">
        <v>6</v>
      </c>
      <c r="F8" s="25" t="s">
        <v>1913</v>
      </c>
      <c r="I8" s="25">
        <v>2.2999999999999998</v>
      </c>
      <c r="K8" s="25" t="s">
        <v>1793</v>
      </c>
      <c r="L8" s="25" t="s">
        <v>1914</v>
      </c>
      <c r="M8" s="25" t="s">
        <v>1795</v>
      </c>
      <c r="N8" s="339">
        <v>9480</v>
      </c>
      <c r="O8" s="339">
        <v>5020</v>
      </c>
      <c r="P8" s="29">
        <v>0.28999999999999998</v>
      </c>
      <c r="S8" s="25" t="s">
        <v>1796</v>
      </c>
      <c r="T8" s="25" t="s">
        <v>1915</v>
      </c>
      <c r="U8" s="25" t="s">
        <v>1795</v>
      </c>
      <c r="V8" s="339">
        <v>12510</v>
      </c>
      <c r="W8" s="326">
        <v>10000</v>
      </c>
      <c r="X8" s="29">
        <v>0.69</v>
      </c>
      <c r="AA8" s="25" t="s">
        <v>1798</v>
      </c>
      <c r="AB8" s="25" t="s">
        <v>1916</v>
      </c>
      <c r="AC8" s="78" t="s">
        <v>1800</v>
      </c>
      <c r="AD8" s="339">
        <v>6850</v>
      </c>
      <c r="AE8" s="339">
        <v>5140</v>
      </c>
      <c r="AF8" s="29">
        <v>0.28999999999999998</v>
      </c>
      <c r="AI8" s="25" t="s">
        <v>1801</v>
      </c>
      <c r="AJ8" s="25" t="s">
        <v>1916</v>
      </c>
      <c r="AK8" s="25" t="s">
        <v>93</v>
      </c>
      <c r="AL8" s="340">
        <v>9490</v>
      </c>
      <c r="AM8" s="340">
        <v>7150</v>
      </c>
      <c r="AN8" s="29">
        <v>0.23</v>
      </c>
      <c r="AQ8" s="25" t="s">
        <v>1802</v>
      </c>
      <c r="AR8" s="25" t="s">
        <v>1917</v>
      </c>
      <c r="AS8" s="25" t="s">
        <v>1795</v>
      </c>
      <c r="AT8" s="339">
        <v>1080</v>
      </c>
      <c r="AU8" s="339">
        <v>700</v>
      </c>
      <c r="AV8" s="105">
        <v>0.12</v>
      </c>
      <c r="AW8" s="29"/>
      <c r="AY8" s="78" t="s">
        <v>334</v>
      </c>
      <c r="BB8" s="43"/>
      <c r="BC8" s="43"/>
      <c r="BD8" s="31"/>
      <c r="BG8" s="78" t="s">
        <v>1806</v>
      </c>
      <c r="BH8" s="78" t="s">
        <v>1918</v>
      </c>
      <c r="BI8" s="78" t="s">
        <v>1808</v>
      </c>
      <c r="BJ8" s="339">
        <v>39100</v>
      </c>
      <c r="BK8" s="339">
        <v>25420</v>
      </c>
      <c r="BL8" s="25">
        <v>0.18</v>
      </c>
      <c r="BO8" s="25" t="s">
        <v>1809</v>
      </c>
      <c r="BP8" s="83" t="s">
        <v>1919</v>
      </c>
      <c r="BQ8" s="25" t="s">
        <v>947</v>
      </c>
      <c r="BR8" s="339">
        <v>34100</v>
      </c>
      <c r="BS8" s="339">
        <v>22170</v>
      </c>
      <c r="BT8" s="29">
        <v>0.18</v>
      </c>
      <c r="BW8" s="78" t="s">
        <v>1811</v>
      </c>
      <c r="BX8" s="83" t="s">
        <v>1920</v>
      </c>
      <c r="BY8" s="78" t="s">
        <v>1808</v>
      </c>
      <c r="BZ8" s="339">
        <v>66200</v>
      </c>
      <c r="CA8" s="339">
        <v>43030</v>
      </c>
      <c r="CB8" s="103">
        <v>0.38</v>
      </c>
      <c r="CE8" s="83" t="s">
        <v>1813</v>
      </c>
      <c r="CF8" s="78" t="s">
        <v>1918</v>
      </c>
      <c r="CG8" s="78" t="s">
        <v>1808</v>
      </c>
      <c r="CH8" s="339">
        <v>45600</v>
      </c>
      <c r="CI8" s="339">
        <v>29640</v>
      </c>
      <c r="CJ8" s="103">
        <v>0.18</v>
      </c>
      <c r="CM8" s="25" t="s">
        <v>1814</v>
      </c>
      <c r="CN8" s="25" t="s">
        <v>1916</v>
      </c>
      <c r="CO8" s="25" t="s">
        <v>947</v>
      </c>
      <c r="CP8" s="337">
        <v>41100</v>
      </c>
      <c r="CQ8" s="339">
        <v>26720</v>
      </c>
      <c r="CR8" s="29">
        <v>0.18</v>
      </c>
      <c r="CU8" s="25" t="s">
        <v>1815</v>
      </c>
      <c r="CV8" s="25" t="s">
        <v>1916</v>
      </c>
      <c r="CW8" s="25" t="s">
        <v>947</v>
      </c>
      <c r="CX8" s="339">
        <v>33600</v>
      </c>
      <c r="CY8" s="339">
        <v>21840</v>
      </c>
      <c r="CZ8" s="29">
        <v>0.18</v>
      </c>
      <c r="DC8" s="25" t="s">
        <v>1816</v>
      </c>
      <c r="DD8" s="25" t="s">
        <v>1916</v>
      </c>
      <c r="DE8" s="25" t="s">
        <v>947</v>
      </c>
      <c r="DF8" s="339">
        <v>36800</v>
      </c>
      <c r="DG8" s="339">
        <v>23920</v>
      </c>
      <c r="DH8" s="103">
        <v>0.18</v>
      </c>
      <c r="DK8" s="83" t="s">
        <v>1817</v>
      </c>
      <c r="DL8" s="25" t="s">
        <v>1916</v>
      </c>
      <c r="DM8" s="25" t="s">
        <v>1818</v>
      </c>
      <c r="DN8" s="339">
        <v>70200</v>
      </c>
      <c r="DO8" s="339">
        <v>45630</v>
      </c>
      <c r="DP8" s="29">
        <v>0.18</v>
      </c>
      <c r="DS8" s="25" t="s">
        <v>1819</v>
      </c>
      <c r="DT8" s="25" t="s">
        <v>1921</v>
      </c>
      <c r="DU8" s="25" t="s">
        <v>1821</v>
      </c>
      <c r="DV8" s="326">
        <v>12400</v>
      </c>
      <c r="DW8" s="326">
        <v>5700</v>
      </c>
      <c r="DX8" s="29">
        <v>0.22</v>
      </c>
      <c r="EA8" s="25" t="s">
        <v>1822</v>
      </c>
      <c r="EB8" s="25" t="s">
        <v>1922</v>
      </c>
      <c r="EC8" s="25" t="s">
        <v>1824</v>
      </c>
      <c r="ED8" s="326">
        <v>146000</v>
      </c>
      <c r="EE8" s="326">
        <f t="shared" si="0"/>
        <v>80300</v>
      </c>
      <c r="EF8" s="29">
        <v>1.5</v>
      </c>
      <c r="EI8" s="25" t="s">
        <v>1870</v>
      </c>
      <c r="EJ8" s="25" t="s">
        <v>1923</v>
      </c>
      <c r="EK8" s="25" t="s">
        <v>1824</v>
      </c>
      <c r="EL8" s="326">
        <v>217000</v>
      </c>
      <c r="EM8" s="339">
        <f t="shared" si="2"/>
        <v>141050</v>
      </c>
      <c r="EN8" s="29">
        <v>2.93</v>
      </c>
      <c r="EQ8" s="25" t="s">
        <v>1924</v>
      </c>
      <c r="ER8" s="25" t="s">
        <v>1925</v>
      </c>
      <c r="ES8" s="25" t="s">
        <v>947</v>
      </c>
      <c r="ET8" s="104">
        <v>17160</v>
      </c>
      <c r="EU8" s="104">
        <v>9100</v>
      </c>
      <c r="EV8" s="29">
        <v>0.08</v>
      </c>
      <c r="EX8" s="240" t="s">
        <v>1926</v>
      </c>
      <c r="EY8" s="25" t="s">
        <v>1927</v>
      </c>
      <c r="EZ8" s="25" t="s">
        <v>1928</v>
      </c>
      <c r="FA8" s="25" t="s">
        <v>77</v>
      </c>
      <c r="FB8" s="227">
        <v>18000</v>
      </c>
      <c r="FC8" s="326">
        <v>4600</v>
      </c>
      <c r="FD8" s="29">
        <v>0.2</v>
      </c>
      <c r="FG8" s="25" t="s">
        <v>1855</v>
      </c>
      <c r="FH8" s="25" t="s">
        <v>1916</v>
      </c>
      <c r="FI8" s="25" t="s">
        <v>1833</v>
      </c>
      <c r="FJ8" s="104">
        <v>9120</v>
      </c>
      <c r="FK8" s="104">
        <v>6110</v>
      </c>
      <c r="FL8" s="29">
        <v>0</v>
      </c>
      <c r="FO8" s="51" t="s">
        <v>1856</v>
      </c>
      <c r="FP8" s="51" t="s">
        <v>1916</v>
      </c>
      <c r="FQ8" s="51" t="s">
        <v>1833</v>
      </c>
      <c r="FR8" s="184">
        <v>5180</v>
      </c>
      <c r="FS8" s="184">
        <v>3200</v>
      </c>
      <c r="FT8" s="29">
        <v>0</v>
      </c>
      <c r="FW8" s="25" t="s">
        <v>1835</v>
      </c>
      <c r="FX8" s="25" t="s">
        <v>1916</v>
      </c>
      <c r="FY8" s="25" t="s">
        <v>1836</v>
      </c>
      <c r="FZ8" s="326">
        <v>760</v>
      </c>
      <c r="GA8" s="326">
        <v>430</v>
      </c>
      <c r="GB8" s="29">
        <v>0.06</v>
      </c>
    </row>
    <row r="9" spans="2:184">
      <c r="B9" s="25">
        <v>7</v>
      </c>
      <c r="C9" s="51" t="s">
        <v>1929</v>
      </c>
      <c r="D9" s="25" t="s">
        <v>1930</v>
      </c>
      <c r="E9" s="25">
        <v>7</v>
      </c>
      <c r="F9" s="25" t="s">
        <v>1931</v>
      </c>
      <c r="I9" s="25">
        <v>0.13</v>
      </c>
      <c r="K9" s="25" t="s">
        <v>1793</v>
      </c>
      <c r="L9" s="25" t="s">
        <v>1932</v>
      </c>
      <c r="M9" s="25" t="s">
        <v>1795</v>
      </c>
      <c r="N9" s="339">
        <v>13540</v>
      </c>
      <c r="O9" s="339">
        <v>7180</v>
      </c>
      <c r="P9" s="29">
        <v>0.37</v>
      </c>
      <c r="S9" s="25" t="s">
        <v>1796</v>
      </c>
      <c r="T9" s="25" t="s">
        <v>1933</v>
      </c>
      <c r="U9" s="25" t="s">
        <v>1795</v>
      </c>
      <c r="V9" s="339">
        <v>17780</v>
      </c>
      <c r="W9" s="326">
        <v>14250</v>
      </c>
      <c r="X9" s="29">
        <v>0.88</v>
      </c>
      <c r="AA9" s="25" t="s">
        <v>1798</v>
      </c>
      <c r="AB9" s="25" t="s">
        <v>1934</v>
      </c>
      <c r="AC9" s="78" t="s">
        <v>1800</v>
      </c>
      <c r="AD9" s="339">
        <v>9330</v>
      </c>
      <c r="AE9" s="339">
        <v>7000</v>
      </c>
      <c r="AF9" s="29">
        <v>0.37</v>
      </c>
      <c r="AI9" s="25" t="s">
        <v>1801</v>
      </c>
      <c r="AJ9" s="25" t="s">
        <v>1934</v>
      </c>
      <c r="AK9" s="25" t="s">
        <v>93</v>
      </c>
      <c r="AL9" s="340">
        <v>12000</v>
      </c>
      <c r="AM9" s="340">
        <v>9050</v>
      </c>
      <c r="AN9" s="29">
        <v>0.28999999999999998</v>
      </c>
      <c r="AQ9" s="25" t="s">
        <v>1802</v>
      </c>
      <c r="AR9" s="25" t="s">
        <v>1935</v>
      </c>
      <c r="AS9" s="25" t="s">
        <v>1795</v>
      </c>
      <c r="AT9" s="339">
        <v>1460</v>
      </c>
      <c r="AU9" s="339">
        <v>950</v>
      </c>
      <c r="AV9" s="105">
        <v>0.15</v>
      </c>
      <c r="AW9" s="29"/>
      <c r="AY9" s="25" t="s">
        <v>1936</v>
      </c>
      <c r="AZ9" s="25" t="s">
        <v>1937</v>
      </c>
      <c r="BA9" s="25" t="s">
        <v>77</v>
      </c>
      <c r="BB9" s="102">
        <v>1260</v>
      </c>
      <c r="BC9" s="102">
        <v>920</v>
      </c>
      <c r="BD9" s="31">
        <v>0.08</v>
      </c>
      <c r="BG9" s="78" t="s">
        <v>334</v>
      </c>
      <c r="BH9" s="78"/>
      <c r="BI9" s="78"/>
      <c r="BJ9" s="79"/>
      <c r="BK9" s="79"/>
      <c r="BO9" s="78" t="s">
        <v>334</v>
      </c>
      <c r="BR9" s="107"/>
      <c r="BS9" s="107"/>
      <c r="BW9" s="78" t="s">
        <v>1811</v>
      </c>
      <c r="BX9" s="83" t="s">
        <v>1938</v>
      </c>
      <c r="BY9" s="78" t="s">
        <v>1808</v>
      </c>
      <c r="BZ9" s="339">
        <v>111000</v>
      </c>
      <c r="CA9" s="339">
        <v>72150</v>
      </c>
      <c r="CB9" s="103">
        <v>0.55000000000000004</v>
      </c>
      <c r="CE9" s="78" t="s">
        <v>334</v>
      </c>
      <c r="CF9" s="78"/>
      <c r="CG9" s="78"/>
      <c r="CH9" s="107"/>
      <c r="CI9" s="107"/>
      <c r="CJ9" s="103"/>
      <c r="CM9" s="78" t="s">
        <v>334</v>
      </c>
      <c r="CP9" s="107"/>
      <c r="CQ9" s="107"/>
      <c r="CU9" s="25" t="s">
        <v>1815</v>
      </c>
      <c r="CV9" s="25" t="s">
        <v>1934</v>
      </c>
      <c r="CW9" s="25" t="s">
        <v>947</v>
      </c>
      <c r="CX9" s="339">
        <v>75600</v>
      </c>
      <c r="CY9" s="339">
        <v>49140</v>
      </c>
      <c r="CZ9" s="29">
        <v>0.32</v>
      </c>
      <c r="DC9" s="25" t="s">
        <v>1816</v>
      </c>
      <c r="DD9" s="25" t="s">
        <v>1934</v>
      </c>
      <c r="DE9" s="25" t="s">
        <v>947</v>
      </c>
      <c r="DF9" s="339">
        <v>90600</v>
      </c>
      <c r="DG9" s="339">
        <v>58890</v>
      </c>
      <c r="DH9" s="103">
        <v>0.32</v>
      </c>
      <c r="DK9" s="78" t="s">
        <v>334</v>
      </c>
      <c r="DN9" s="107"/>
      <c r="DO9" s="107"/>
      <c r="DS9" s="25" t="s">
        <v>1939</v>
      </c>
      <c r="DT9" s="25" t="s">
        <v>1940</v>
      </c>
      <c r="DU9" s="25" t="s">
        <v>1821</v>
      </c>
      <c r="DV9" s="326">
        <v>21100</v>
      </c>
      <c r="DW9" s="326">
        <v>5490</v>
      </c>
      <c r="DX9" s="29">
        <v>0.37</v>
      </c>
      <c r="EA9" s="25" t="s">
        <v>1822</v>
      </c>
      <c r="EB9" s="25" t="s">
        <v>1941</v>
      </c>
      <c r="EC9" s="25" t="s">
        <v>1824</v>
      </c>
      <c r="ED9" s="326">
        <v>184000</v>
      </c>
      <c r="EE9" s="326">
        <f t="shared" si="0"/>
        <v>101200.00000000001</v>
      </c>
      <c r="EF9" s="29">
        <v>1.7</v>
      </c>
      <c r="EI9" s="25" t="s">
        <v>1870</v>
      </c>
      <c r="EJ9" s="25" t="s">
        <v>1942</v>
      </c>
      <c r="EK9" s="25" t="s">
        <v>1824</v>
      </c>
      <c r="EL9" s="326">
        <v>289000</v>
      </c>
      <c r="EM9" s="339">
        <f t="shared" si="2"/>
        <v>187850</v>
      </c>
      <c r="EN9" s="29">
        <v>3.29</v>
      </c>
      <c r="EQ9" s="25" t="s">
        <v>1924</v>
      </c>
      <c r="ER9" s="25" t="s">
        <v>1943</v>
      </c>
      <c r="ES9" s="25" t="s">
        <v>947</v>
      </c>
      <c r="ET9" s="104">
        <v>17160</v>
      </c>
      <c r="EU9" s="104">
        <v>9100</v>
      </c>
      <c r="EV9" s="29">
        <v>0.08</v>
      </c>
      <c r="EX9" s="54" t="s">
        <v>1944</v>
      </c>
      <c r="EY9" s="32" t="s">
        <v>1945</v>
      </c>
      <c r="EZ9" s="32" t="s">
        <v>1946</v>
      </c>
      <c r="FA9" s="32" t="s">
        <v>81</v>
      </c>
      <c r="FB9" s="227">
        <v>15500</v>
      </c>
      <c r="FC9" s="326">
        <v>2920</v>
      </c>
      <c r="FD9" s="95">
        <v>0.2</v>
      </c>
      <c r="FG9" s="25" t="s">
        <v>1855</v>
      </c>
      <c r="FH9" s="25" t="s">
        <v>1934</v>
      </c>
      <c r="FI9" s="25" t="s">
        <v>1833</v>
      </c>
      <c r="FJ9" s="104">
        <v>10080</v>
      </c>
      <c r="FK9" s="104">
        <v>6760</v>
      </c>
      <c r="FL9" s="29">
        <v>0</v>
      </c>
      <c r="FO9" s="51" t="s">
        <v>1856</v>
      </c>
      <c r="FP9" s="51" t="s">
        <v>1934</v>
      </c>
      <c r="FQ9" s="51" t="s">
        <v>1833</v>
      </c>
      <c r="FR9" s="184">
        <v>5630</v>
      </c>
      <c r="FS9" s="184">
        <v>3490</v>
      </c>
      <c r="FT9" s="29">
        <v>0</v>
      </c>
      <c r="FW9" s="25" t="s">
        <v>1835</v>
      </c>
      <c r="FX9" s="25" t="s">
        <v>1934</v>
      </c>
      <c r="FY9" s="25" t="s">
        <v>1836</v>
      </c>
      <c r="FZ9" s="326">
        <v>970</v>
      </c>
      <c r="GA9" s="326">
        <v>560</v>
      </c>
      <c r="GB9" s="29">
        <v>0.08</v>
      </c>
    </row>
    <row r="10" spans="2:184">
      <c r="B10" s="25">
        <v>8</v>
      </c>
      <c r="C10" s="51" t="s">
        <v>1947</v>
      </c>
      <c r="D10" s="25" t="s">
        <v>1948</v>
      </c>
      <c r="E10" s="25">
        <v>8</v>
      </c>
      <c r="F10" s="25" t="s">
        <v>1949</v>
      </c>
      <c r="K10" s="25" t="s">
        <v>1793</v>
      </c>
      <c r="L10" s="25" t="s">
        <v>1950</v>
      </c>
      <c r="M10" s="25" t="s">
        <v>1795</v>
      </c>
      <c r="N10" s="339">
        <v>16220</v>
      </c>
      <c r="O10" s="339">
        <v>8590</v>
      </c>
      <c r="P10" s="29">
        <v>0.42</v>
      </c>
      <c r="S10" s="25" t="s">
        <v>1796</v>
      </c>
      <c r="T10" s="25" t="s">
        <v>1951</v>
      </c>
      <c r="U10" s="25" t="s">
        <v>1795</v>
      </c>
      <c r="V10" s="339">
        <v>27050</v>
      </c>
      <c r="W10" s="326">
        <v>21660</v>
      </c>
      <c r="X10" s="29">
        <v>1.26</v>
      </c>
      <c r="AA10" s="25" t="s">
        <v>1798</v>
      </c>
      <c r="AB10" s="25" t="s">
        <v>1952</v>
      </c>
      <c r="AC10" s="78" t="s">
        <v>1800</v>
      </c>
      <c r="AD10" s="339">
        <v>10570</v>
      </c>
      <c r="AE10" s="339">
        <v>7930</v>
      </c>
      <c r="AF10" s="29">
        <v>0.42</v>
      </c>
      <c r="AI10" s="25" t="s">
        <v>1953</v>
      </c>
      <c r="AJ10" s="25" t="s">
        <v>1799</v>
      </c>
      <c r="AK10" s="25" t="s">
        <v>77</v>
      </c>
      <c r="AL10" s="337">
        <v>1550</v>
      </c>
      <c r="AM10" s="340">
        <v>1140</v>
      </c>
      <c r="AN10" s="29">
        <v>0</v>
      </c>
      <c r="AQ10" s="25" t="s">
        <v>1802</v>
      </c>
      <c r="AR10" s="25" t="s">
        <v>1954</v>
      </c>
      <c r="AS10" s="25" t="s">
        <v>1795</v>
      </c>
      <c r="AT10" s="339">
        <v>1400</v>
      </c>
      <c r="AU10" s="339">
        <v>910</v>
      </c>
      <c r="AV10" s="105">
        <v>0.2</v>
      </c>
      <c r="AW10" s="29"/>
      <c r="AY10" s="25" t="s">
        <v>1936</v>
      </c>
      <c r="AZ10" s="25" t="s">
        <v>1955</v>
      </c>
      <c r="BA10" s="25" t="s">
        <v>77</v>
      </c>
      <c r="BB10" s="102">
        <v>1820</v>
      </c>
      <c r="BC10" s="102">
        <v>1310</v>
      </c>
      <c r="BD10" s="31">
        <v>0.09</v>
      </c>
      <c r="BG10" s="78" t="s">
        <v>1806</v>
      </c>
      <c r="BH10" s="83" t="s">
        <v>1956</v>
      </c>
      <c r="BI10" s="78" t="s">
        <v>1808</v>
      </c>
      <c r="BJ10" s="337">
        <v>91000</v>
      </c>
      <c r="BK10" s="337">
        <v>59150</v>
      </c>
      <c r="BL10" s="25">
        <v>0.32</v>
      </c>
      <c r="BO10" s="25" t="s">
        <v>1809</v>
      </c>
      <c r="BP10" s="25" t="s">
        <v>1957</v>
      </c>
      <c r="BQ10" s="25" t="s">
        <v>947</v>
      </c>
      <c r="BR10" s="339">
        <v>95300</v>
      </c>
      <c r="BS10" s="339">
        <v>61950</v>
      </c>
      <c r="BT10" s="29">
        <v>0.18</v>
      </c>
      <c r="BW10" s="78" t="s">
        <v>1811</v>
      </c>
      <c r="BX10" s="83" t="s">
        <v>1958</v>
      </c>
      <c r="BY10" s="78" t="s">
        <v>1808</v>
      </c>
      <c r="BZ10" s="339">
        <v>217000</v>
      </c>
      <c r="CA10" s="339">
        <v>141050</v>
      </c>
      <c r="CB10" s="103">
        <v>0.63</v>
      </c>
      <c r="CE10" s="83" t="s">
        <v>1813</v>
      </c>
      <c r="CF10" s="83" t="s">
        <v>1956</v>
      </c>
      <c r="CG10" s="83" t="s">
        <v>1808</v>
      </c>
      <c r="CH10" s="337">
        <v>103000</v>
      </c>
      <c r="CI10" s="339">
        <v>66950</v>
      </c>
      <c r="CJ10" s="106">
        <v>0.18</v>
      </c>
      <c r="CM10" s="25" t="s">
        <v>1814</v>
      </c>
      <c r="CN10" s="25" t="s">
        <v>1959</v>
      </c>
      <c r="CO10" s="25" t="s">
        <v>947</v>
      </c>
      <c r="CP10" s="337">
        <v>93200</v>
      </c>
      <c r="CQ10" s="339">
        <v>60580</v>
      </c>
      <c r="CR10" s="29">
        <v>0.18</v>
      </c>
      <c r="CU10" s="25" t="s">
        <v>1815</v>
      </c>
      <c r="CV10" s="25" t="s">
        <v>1952</v>
      </c>
      <c r="CW10" s="25" t="s">
        <v>947</v>
      </c>
      <c r="CX10" s="339">
        <v>125000</v>
      </c>
      <c r="CY10" s="339">
        <v>81250</v>
      </c>
      <c r="CZ10" s="29">
        <v>0.39</v>
      </c>
      <c r="DC10" s="25" t="s">
        <v>1816</v>
      </c>
      <c r="DD10" s="25" t="s">
        <v>1952</v>
      </c>
      <c r="DE10" s="25" t="s">
        <v>947</v>
      </c>
      <c r="DF10" s="339">
        <v>120000</v>
      </c>
      <c r="DG10" s="339">
        <v>78000</v>
      </c>
      <c r="DH10" s="103">
        <v>0.39</v>
      </c>
      <c r="DK10" s="83" t="s">
        <v>1960</v>
      </c>
      <c r="DL10" s="25" t="s">
        <v>1799</v>
      </c>
      <c r="DM10" s="25" t="s">
        <v>1818</v>
      </c>
      <c r="DN10" s="339">
        <v>29800</v>
      </c>
      <c r="DO10" s="339">
        <v>19370</v>
      </c>
      <c r="DP10" s="29">
        <v>0.08</v>
      </c>
      <c r="DS10" s="25" t="s">
        <v>1939</v>
      </c>
      <c r="DT10" s="25" t="s">
        <v>1961</v>
      </c>
      <c r="DU10" s="25" t="s">
        <v>1821</v>
      </c>
      <c r="DV10" s="326">
        <v>23900</v>
      </c>
      <c r="DW10" s="326">
        <v>6210</v>
      </c>
      <c r="DX10" s="29">
        <v>0.44</v>
      </c>
      <c r="EA10" s="25" t="s">
        <v>1822</v>
      </c>
      <c r="EB10" s="25" t="s">
        <v>1962</v>
      </c>
      <c r="EC10" s="25" t="s">
        <v>1824</v>
      </c>
      <c r="ED10" s="326">
        <v>251000</v>
      </c>
      <c r="EE10" s="326">
        <f t="shared" si="0"/>
        <v>138050</v>
      </c>
      <c r="EF10" s="29">
        <v>2.42</v>
      </c>
      <c r="EI10" s="25" t="s">
        <v>1870</v>
      </c>
      <c r="EJ10" s="25" t="s">
        <v>1963</v>
      </c>
      <c r="EK10" s="25" t="s">
        <v>1824</v>
      </c>
      <c r="EL10" s="326">
        <v>409000</v>
      </c>
      <c r="EM10" s="339">
        <f t="shared" si="2"/>
        <v>265850</v>
      </c>
      <c r="EN10" s="29">
        <v>3.77</v>
      </c>
      <c r="EQ10" s="25" t="s">
        <v>1964</v>
      </c>
      <c r="ER10" s="25" t="s">
        <v>1799</v>
      </c>
      <c r="ES10" s="25" t="s">
        <v>947</v>
      </c>
      <c r="ET10" s="104">
        <v>2810</v>
      </c>
      <c r="EU10" s="104">
        <v>1490</v>
      </c>
      <c r="EV10" s="29">
        <v>0.08</v>
      </c>
      <c r="EY10" s="108" t="s">
        <v>1965</v>
      </c>
      <c r="EZ10" s="25" t="s">
        <v>1916</v>
      </c>
      <c r="FA10" s="25" t="s">
        <v>77</v>
      </c>
      <c r="FB10" s="28">
        <v>15000</v>
      </c>
      <c r="FC10" s="28">
        <v>10000</v>
      </c>
      <c r="FD10" s="29">
        <v>0</v>
      </c>
      <c r="FG10" s="25" t="s">
        <v>1855</v>
      </c>
      <c r="FH10" s="25" t="s">
        <v>1952</v>
      </c>
      <c r="FI10" s="25" t="s">
        <v>1833</v>
      </c>
      <c r="FJ10" s="104">
        <v>10800</v>
      </c>
      <c r="FK10" s="104">
        <v>7240</v>
      </c>
      <c r="FL10" s="29">
        <v>0</v>
      </c>
      <c r="FO10" s="51" t="s">
        <v>1856</v>
      </c>
      <c r="FP10" s="51" t="s">
        <v>1952</v>
      </c>
      <c r="FQ10" s="51" t="s">
        <v>1833</v>
      </c>
      <c r="FR10" s="184">
        <v>6170</v>
      </c>
      <c r="FS10" s="184">
        <v>3810</v>
      </c>
      <c r="FT10" s="29">
        <v>0</v>
      </c>
      <c r="FW10" s="25" t="s">
        <v>1835</v>
      </c>
      <c r="FX10" s="25" t="s">
        <v>1952</v>
      </c>
      <c r="FY10" s="25" t="s">
        <v>1836</v>
      </c>
      <c r="FZ10" s="326">
        <v>1180</v>
      </c>
      <c r="GA10" s="326">
        <v>670</v>
      </c>
      <c r="GB10" s="29">
        <v>0.08</v>
      </c>
    </row>
    <row r="11" spans="2:184">
      <c r="B11" s="25">
        <v>9</v>
      </c>
      <c r="C11" s="51" t="s">
        <v>1966</v>
      </c>
      <c r="D11" s="25" t="s">
        <v>1967</v>
      </c>
      <c r="E11" s="25">
        <v>9</v>
      </c>
      <c r="F11" s="25" t="s">
        <v>1968</v>
      </c>
      <c r="I11" s="25" t="s">
        <v>1969</v>
      </c>
      <c r="K11" s="25" t="s">
        <v>1793</v>
      </c>
      <c r="L11" s="25" t="s">
        <v>1970</v>
      </c>
      <c r="M11" s="25" t="s">
        <v>1795</v>
      </c>
      <c r="N11" s="339">
        <v>23300</v>
      </c>
      <c r="O11" s="339">
        <v>12350</v>
      </c>
      <c r="P11" s="29">
        <v>0.56999999999999995</v>
      </c>
      <c r="S11" s="25" t="s">
        <v>1796</v>
      </c>
      <c r="T11" s="25" t="s">
        <v>1971</v>
      </c>
      <c r="U11" s="25" t="s">
        <v>1795</v>
      </c>
      <c r="V11" s="339">
        <v>37980</v>
      </c>
      <c r="W11" s="326">
        <v>30370</v>
      </c>
      <c r="X11" s="29">
        <v>1.79</v>
      </c>
      <c r="AA11" s="25" t="s">
        <v>1798</v>
      </c>
      <c r="AB11" s="25" t="s">
        <v>1970</v>
      </c>
      <c r="AC11" s="78" t="s">
        <v>1800</v>
      </c>
      <c r="AD11" s="339">
        <v>15130</v>
      </c>
      <c r="AE11" s="339">
        <v>11350</v>
      </c>
      <c r="AF11" s="29">
        <v>0.56999999999999995</v>
      </c>
      <c r="AI11" s="25" t="s">
        <v>1953</v>
      </c>
      <c r="AJ11" s="25" t="s">
        <v>1841</v>
      </c>
      <c r="AK11" s="25" t="s">
        <v>77</v>
      </c>
      <c r="AL11" s="337">
        <v>2210</v>
      </c>
      <c r="AM11" s="340">
        <v>1640</v>
      </c>
      <c r="AN11" s="29">
        <v>0</v>
      </c>
      <c r="AQ11" s="25" t="s">
        <v>1802</v>
      </c>
      <c r="AR11" s="25" t="s">
        <v>1972</v>
      </c>
      <c r="AS11" s="25" t="s">
        <v>1795</v>
      </c>
      <c r="AT11" s="339">
        <v>2790</v>
      </c>
      <c r="AU11" s="339">
        <v>1810</v>
      </c>
      <c r="AV11" s="105">
        <v>0.23</v>
      </c>
      <c r="AW11" s="29"/>
      <c r="AY11" s="25" t="s">
        <v>1936</v>
      </c>
      <c r="AZ11" s="25" t="s">
        <v>1973</v>
      </c>
      <c r="BA11" s="25" t="s">
        <v>77</v>
      </c>
      <c r="BB11" s="102">
        <v>2380</v>
      </c>
      <c r="BC11" s="102">
        <v>1720</v>
      </c>
      <c r="BD11" s="31">
        <v>0.12</v>
      </c>
      <c r="BG11" s="78" t="s">
        <v>1806</v>
      </c>
      <c r="BH11" s="83" t="s">
        <v>1974</v>
      </c>
      <c r="BI11" s="78" t="s">
        <v>1808</v>
      </c>
      <c r="BJ11" s="337">
        <v>110000</v>
      </c>
      <c r="BK11" s="337">
        <v>71500</v>
      </c>
      <c r="BL11" s="25">
        <v>0.39</v>
      </c>
      <c r="BO11" s="25" t="s">
        <v>1809</v>
      </c>
      <c r="BP11" s="25" t="s">
        <v>1975</v>
      </c>
      <c r="BQ11" s="25" t="s">
        <v>947</v>
      </c>
      <c r="BR11" s="339">
        <v>125000</v>
      </c>
      <c r="BS11" s="339">
        <v>81250</v>
      </c>
      <c r="BT11" s="29">
        <v>0.32</v>
      </c>
      <c r="BW11" s="78" t="s">
        <v>1811</v>
      </c>
      <c r="BX11" s="83" t="s">
        <v>1976</v>
      </c>
      <c r="BY11" s="78" t="s">
        <v>1808</v>
      </c>
      <c r="BZ11" s="339">
        <v>276000</v>
      </c>
      <c r="CA11" s="339">
        <v>179400</v>
      </c>
      <c r="CB11" s="103">
        <v>0.77</v>
      </c>
      <c r="CE11" s="83" t="s">
        <v>1813</v>
      </c>
      <c r="CF11" s="78" t="s">
        <v>1974</v>
      </c>
      <c r="CG11" s="78" t="s">
        <v>1808</v>
      </c>
      <c r="CH11" s="337">
        <v>135000</v>
      </c>
      <c r="CI11" s="339">
        <v>87750</v>
      </c>
      <c r="CJ11" s="103">
        <v>0.32</v>
      </c>
      <c r="CM11" s="25" t="s">
        <v>1814</v>
      </c>
      <c r="CN11" s="25" t="s">
        <v>1977</v>
      </c>
      <c r="CO11" s="25" t="s">
        <v>947</v>
      </c>
      <c r="CP11" s="337">
        <v>112000</v>
      </c>
      <c r="CQ11" s="339">
        <v>72800</v>
      </c>
      <c r="CR11" s="29">
        <v>0.32</v>
      </c>
      <c r="CU11" s="25" t="s">
        <v>1815</v>
      </c>
      <c r="CV11" s="25" t="s">
        <v>1970</v>
      </c>
      <c r="CW11" s="25" t="s">
        <v>947</v>
      </c>
      <c r="CX11" s="339">
        <v>173000</v>
      </c>
      <c r="CY11" s="339">
        <v>112450</v>
      </c>
      <c r="CZ11" s="29">
        <v>0.48</v>
      </c>
      <c r="DC11" s="78" t="s">
        <v>334</v>
      </c>
      <c r="DF11" s="107"/>
      <c r="DG11" s="107"/>
      <c r="DH11" s="103"/>
      <c r="DK11" s="83" t="s">
        <v>1960</v>
      </c>
      <c r="DL11" s="25" t="s">
        <v>1841</v>
      </c>
      <c r="DM11" s="25" t="s">
        <v>1818</v>
      </c>
      <c r="DN11" s="339">
        <v>31800</v>
      </c>
      <c r="DO11" s="339">
        <v>20670</v>
      </c>
      <c r="DP11" s="29">
        <v>0.09</v>
      </c>
      <c r="DS11" s="25" t="s">
        <v>1939</v>
      </c>
      <c r="DT11" s="25" t="s">
        <v>1978</v>
      </c>
      <c r="DU11" s="25" t="s">
        <v>1821</v>
      </c>
      <c r="DV11" s="326">
        <v>28600</v>
      </c>
      <c r="DW11" s="326">
        <v>7440</v>
      </c>
      <c r="DX11" s="29">
        <v>0.54</v>
      </c>
      <c r="EA11" s="25" t="s">
        <v>1822</v>
      </c>
      <c r="EB11" s="25" t="s">
        <v>1979</v>
      </c>
      <c r="EC11" s="25" t="s">
        <v>1824</v>
      </c>
      <c r="ED11" s="326">
        <v>306000</v>
      </c>
      <c r="EE11" s="326">
        <f t="shared" si="0"/>
        <v>168300</v>
      </c>
      <c r="EF11" s="29">
        <v>3.61</v>
      </c>
      <c r="EI11" s="25" t="s">
        <v>1870</v>
      </c>
      <c r="EJ11" s="25" t="s">
        <v>1980</v>
      </c>
      <c r="EK11" s="25" t="s">
        <v>1824</v>
      </c>
      <c r="EL11" s="326">
        <v>707000</v>
      </c>
      <c r="EM11" s="339">
        <f t="shared" si="2"/>
        <v>459550</v>
      </c>
      <c r="EN11" s="29">
        <v>4.12</v>
      </c>
      <c r="EQ11" s="25" t="s">
        <v>1981</v>
      </c>
      <c r="ER11" s="25" t="s">
        <v>1982</v>
      </c>
      <c r="ES11" s="25" t="s">
        <v>947</v>
      </c>
      <c r="ET11" s="326">
        <v>30600</v>
      </c>
      <c r="EU11" s="326">
        <f>ET11*0.8</f>
        <v>24480</v>
      </c>
      <c r="EV11" s="29">
        <v>0.08</v>
      </c>
      <c r="EY11" s="78" t="s">
        <v>334</v>
      </c>
      <c r="FG11" s="25" t="s">
        <v>1855</v>
      </c>
      <c r="FH11" s="25" t="s">
        <v>1970</v>
      </c>
      <c r="FI11" s="25" t="s">
        <v>1833</v>
      </c>
      <c r="FJ11" s="104">
        <v>13440</v>
      </c>
      <c r="FK11" s="104">
        <v>9000</v>
      </c>
      <c r="FL11" s="29">
        <v>0</v>
      </c>
      <c r="FO11" s="25" t="s">
        <v>1856</v>
      </c>
      <c r="FP11" s="25" t="s">
        <v>1970</v>
      </c>
      <c r="FQ11" s="25" t="s">
        <v>1833</v>
      </c>
      <c r="FR11" s="184">
        <v>9050</v>
      </c>
      <c r="FS11" s="184">
        <v>5610</v>
      </c>
      <c r="FT11" s="29">
        <v>0</v>
      </c>
      <c r="FW11" s="25" t="s">
        <v>1835</v>
      </c>
      <c r="FX11" s="25" t="s">
        <v>1970</v>
      </c>
      <c r="FY11" s="25" t="s">
        <v>1836</v>
      </c>
      <c r="FZ11" s="326">
        <v>1450</v>
      </c>
      <c r="GA11" s="326">
        <v>930</v>
      </c>
      <c r="GB11" s="29">
        <v>0.1</v>
      </c>
    </row>
    <row r="12" spans="2:184">
      <c r="B12" s="25">
        <v>10</v>
      </c>
      <c r="C12" s="51" t="s">
        <v>1983</v>
      </c>
      <c r="D12" s="25" t="s">
        <v>1984</v>
      </c>
      <c r="E12" s="25">
        <v>10</v>
      </c>
      <c r="F12" s="25" t="s">
        <v>1985</v>
      </c>
      <c r="I12" s="25">
        <v>2.2999999999999998</v>
      </c>
      <c r="K12" s="25" t="s">
        <v>1986</v>
      </c>
      <c r="L12" s="25" t="s">
        <v>1987</v>
      </c>
      <c r="M12" s="25" t="s">
        <v>1795</v>
      </c>
      <c r="N12" s="339">
        <v>24260</v>
      </c>
      <c r="O12" s="339">
        <v>38390</v>
      </c>
      <c r="P12" s="29">
        <v>0.69</v>
      </c>
      <c r="S12" s="25" t="s">
        <v>1796</v>
      </c>
      <c r="T12" s="25" t="s">
        <v>1988</v>
      </c>
      <c r="U12" s="25" t="s">
        <v>1795</v>
      </c>
      <c r="V12" s="339">
        <v>47570</v>
      </c>
      <c r="W12" s="326">
        <v>38090</v>
      </c>
      <c r="X12" s="29">
        <v>2.37</v>
      </c>
      <c r="AI12" s="25" t="s">
        <v>1953</v>
      </c>
      <c r="AJ12" s="25" t="s">
        <v>1862</v>
      </c>
      <c r="AK12" s="25" t="s">
        <v>77</v>
      </c>
      <c r="AL12" s="337">
        <v>3160</v>
      </c>
      <c r="AM12" s="340">
        <v>2320</v>
      </c>
      <c r="AN12" s="29">
        <v>0</v>
      </c>
      <c r="AQ12" s="25" t="s">
        <v>1802</v>
      </c>
      <c r="AR12" s="25" t="s">
        <v>1989</v>
      </c>
      <c r="AS12" s="25" t="s">
        <v>1795</v>
      </c>
      <c r="AT12" s="339">
        <v>4110</v>
      </c>
      <c r="AU12" s="339">
        <v>2670</v>
      </c>
      <c r="AV12" s="105">
        <v>0.28999999999999998</v>
      </c>
      <c r="AW12" s="29"/>
      <c r="AY12" s="25" t="s">
        <v>1936</v>
      </c>
      <c r="AZ12" s="25" t="s">
        <v>1990</v>
      </c>
      <c r="BA12" s="25" t="s">
        <v>77</v>
      </c>
      <c r="BB12" s="102">
        <v>4560</v>
      </c>
      <c r="BC12" s="102">
        <v>3290</v>
      </c>
      <c r="BD12" s="31">
        <v>0.14000000000000001</v>
      </c>
      <c r="BG12" s="78" t="s">
        <v>1806</v>
      </c>
      <c r="BH12" s="83" t="s">
        <v>1991</v>
      </c>
      <c r="BI12" s="78" t="s">
        <v>1808</v>
      </c>
      <c r="BJ12" s="337">
        <v>141000</v>
      </c>
      <c r="BK12" s="337">
        <v>91650</v>
      </c>
      <c r="BL12" s="25">
        <v>0.48</v>
      </c>
      <c r="BO12" s="25" t="s">
        <v>1809</v>
      </c>
      <c r="BP12" s="25" t="s">
        <v>1992</v>
      </c>
      <c r="BQ12" s="25" t="s">
        <v>947</v>
      </c>
      <c r="BR12" s="339">
        <v>143000</v>
      </c>
      <c r="BS12" s="339">
        <v>92950</v>
      </c>
      <c r="BT12" s="29">
        <v>0.39</v>
      </c>
      <c r="CE12" s="83" t="s">
        <v>1813</v>
      </c>
      <c r="CF12" s="78" t="s">
        <v>1991</v>
      </c>
      <c r="CG12" s="78" t="s">
        <v>1808</v>
      </c>
      <c r="CH12" s="337">
        <v>158000</v>
      </c>
      <c r="CI12" s="339">
        <v>102700</v>
      </c>
      <c r="CJ12" s="103">
        <v>0.39</v>
      </c>
      <c r="CM12" s="25" t="s">
        <v>1814</v>
      </c>
      <c r="CN12" s="25" t="s">
        <v>1993</v>
      </c>
      <c r="CO12" s="25" t="s">
        <v>947</v>
      </c>
      <c r="CP12" s="337">
        <v>134000</v>
      </c>
      <c r="CQ12" s="339">
        <v>87100</v>
      </c>
      <c r="CR12" s="29">
        <v>0.39</v>
      </c>
      <c r="CU12" s="78" t="s">
        <v>334</v>
      </c>
      <c r="CX12" s="107"/>
      <c r="CY12" s="107"/>
      <c r="DC12" s="25" t="s">
        <v>1816</v>
      </c>
      <c r="DD12" s="25" t="s">
        <v>1959</v>
      </c>
      <c r="DE12" s="25" t="s">
        <v>947</v>
      </c>
      <c r="DF12" s="348">
        <v>50000</v>
      </c>
      <c r="DG12" s="339">
        <v>32500</v>
      </c>
      <c r="DH12" s="106">
        <v>0.18</v>
      </c>
      <c r="DK12" s="83" t="s">
        <v>1960</v>
      </c>
      <c r="DL12" s="25" t="s">
        <v>1862</v>
      </c>
      <c r="DM12" s="25" t="s">
        <v>1818</v>
      </c>
      <c r="DN12" s="339">
        <v>44000</v>
      </c>
      <c r="DO12" s="339">
        <v>28600</v>
      </c>
      <c r="DP12" s="29">
        <v>0.12</v>
      </c>
      <c r="DS12" s="25" t="s">
        <v>1939</v>
      </c>
      <c r="DT12" s="25" t="s">
        <v>1994</v>
      </c>
      <c r="DU12" s="25" t="s">
        <v>1821</v>
      </c>
      <c r="DV12" s="326">
        <v>40700</v>
      </c>
      <c r="DW12" s="326">
        <v>10580</v>
      </c>
      <c r="DX12" s="29">
        <v>0.56999999999999995</v>
      </c>
      <c r="EA12" s="25" t="s">
        <v>1822</v>
      </c>
      <c r="EB12" s="25" t="s">
        <v>1995</v>
      </c>
      <c r="EC12" s="25" t="s">
        <v>1824</v>
      </c>
      <c r="ED12" s="326">
        <v>433000</v>
      </c>
      <c r="EE12" s="326">
        <f t="shared" si="0"/>
        <v>238150.00000000003</v>
      </c>
      <c r="EF12" s="29">
        <v>4.42</v>
      </c>
      <c r="EI12" s="25" t="s">
        <v>1996</v>
      </c>
      <c r="EJ12" s="25" t="s">
        <v>1997</v>
      </c>
      <c r="EK12" s="25" t="s">
        <v>1824</v>
      </c>
      <c r="EL12" s="326">
        <v>192000</v>
      </c>
      <c r="EM12" s="326">
        <f>EL12*0.665</f>
        <v>127680</v>
      </c>
      <c r="EN12" s="29">
        <v>1.1000000000000001</v>
      </c>
      <c r="EQ12" s="25" t="s">
        <v>1998</v>
      </c>
      <c r="ER12" s="25" t="s">
        <v>1999</v>
      </c>
      <c r="ES12" s="25" t="s">
        <v>947</v>
      </c>
      <c r="ET12" s="326">
        <v>36100</v>
      </c>
      <c r="EU12" s="326">
        <f t="shared" ref="EU12:EU13" si="3">ET12*0.8</f>
        <v>28880</v>
      </c>
      <c r="EV12" s="29">
        <v>0.08</v>
      </c>
      <c r="EY12" s="25" t="s">
        <v>2000</v>
      </c>
      <c r="EZ12" s="25" t="s">
        <v>2001</v>
      </c>
      <c r="FA12" s="25" t="s">
        <v>1719</v>
      </c>
      <c r="FB12" s="326">
        <v>198500</v>
      </c>
      <c r="FC12" s="326">
        <v>129030</v>
      </c>
      <c r="FD12" s="29">
        <v>0.3</v>
      </c>
      <c r="FG12" s="25" t="s">
        <v>1855</v>
      </c>
      <c r="FH12" s="25" t="s">
        <v>2002</v>
      </c>
      <c r="FI12" s="25" t="s">
        <v>1833</v>
      </c>
      <c r="FJ12" s="104">
        <v>15840</v>
      </c>
      <c r="FK12" s="104">
        <v>10610</v>
      </c>
      <c r="FL12" s="29">
        <v>0</v>
      </c>
      <c r="FO12" s="25" t="s">
        <v>1856</v>
      </c>
      <c r="FP12" s="25" t="s">
        <v>2002</v>
      </c>
      <c r="FQ12" s="25" t="s">
        <v>1833</v>
      </c>
      <c r="FR12" s="184">
        <v>10530</v>
      </c>
      <c r="FS12" s="184">
        <v>6550</v>
      </c>
      <c r="FT12" s="29">
        <v>0</v>
      </c>
      <c r="FW12" s="25" t="s">
        <v>1835</v>
      </c>
      <c r="FX12" s="25" t="s">
        <v>2002</v>
      </c>
      <c r="FY12" s="25" t="s">
        <v>1836</v>
      </c>
      <c r="FZ12" s="326">
        <v>2070</v>
      </c>
      <c r="GA12" s="326">
        <v>1020</v>
      </c>
      <c r="GB12" s="29">
        <v>0.12</v>
      </c>
    </row>
    <row r="13" spans="2:184">
      <c r="B13" s="25">
        <v>11</v>
      </c>
      <c r="C13" s="51" t="s">
        <v>2003</v>
      </c>
      <c r="D13" s="25" t="s">
        <v>2004</v>
      </c>
      <c r="E13" s="25">
        <v>11</v>
      </c>
      <c r="F13" s="25" t="s">
        <v>2005</v>
      </c>
      <c r="I13" s="25">
        <v>0.11</v>
      </c>
      <c r="K13" s="25" t="s">
        <v>1986</v>
      </c>
      <c r="L13" s="25" t="s">
        <v>2006</v>
      </c>
      <c r="M13" s="25" t="s">
        <v>1795</v>
      </c>
      <c r="N13" s="339">
        <v>33060</v>
      </c>
      <c r="O13" s="339">
        <v>17530</v>
      </c>
      <c r="P13" s="29">
        <v>0.88</v>
      </c>
      <c r="S13" s="78" t="s">
        <v>334</v>
      </c>
      <c r="X13" s="29"/>
      <c r="AI13" s="25" t="s">
        <v>1953</v>
      </c>
      <c r="AJ13" s="25" t="s">
        <v>1880</v>
      </c>
      <c r="AK13" s="25" t="s">
        <v>77</v>
      </c>
      <c r="AL13" s="337">
        <v>5070</v>
      </c>
      <c r="AM13" s="340">
        <v>3540</v>
      </c>
      <c r="AN13" s="29">
        <v>0</v>
      </c>
      <c r="AQ13" s="25" t="s">
        <v>1802</v>
      </c>
      <c r="AR13" s="25" t="s">
        <v>2007</v>
      </c>
      <c r="AS13" s="25" t="s">
        <v>1795</v>
      </c>
      <c r="AT13" s="339">
        <v>6000</v>
      </c>
      <c r="AU13" s="339">
        <v>3900</v>
      </c>
      <c r="AV13" s="105">
        <v>0.36</v>
      </c>
      <c r="AW13" s="29"/>
      <c r="AY13" s="78" t="s">
        <v>334</v>
      </c>
      <c r="BB13" s="43"/>
      <c r="BC13" s="43"/>
      <c r="BD13" s="31"/>
      <c r="BG13" s="78" t="s">
        <v>1806</v>
      </c>
      <c r="BH13" s="83" t="s">
        <v>2008</v>
      </c>
      <c r="BI13" s="78" t="s">
        <v>1808</v>
      </c>
      <c r="BJ13" s="337">
        <v>170000</v>
      </c>
      <c r="BK13" s="337">
        <v>110500</v>
      </c>
      <c r="BL13" s="25">
        <v>0.56999999999999995</v>
      </c>
      <c r="BO13" s="25" t="s">
        <v>1809</v>
      </c>
      <c r="BP13" s="25" t="s">
        <v>2009</v>
      </c>
      <c r="BQ13" s="25" t="s">
        <v>947</v>
      </c>
      <c r="BR13" s="339">
        <v>191000</v>
      </c>
      <c r="BS13" s="339">
        <v>124150</v>
      </c>
      <c r="BT13" s="29">
        <v>0.48</v>
      </c>
      <c r="CE13" s="83" t="s">
        <v>1813</v>
      </c>
      <c r="CF13" s="78" t="s">
        <v>2008</v>
      </c>
      <c r="CG13" s="78" t="s">
        <v>1808</v>
      </c>
      <c r="CH13" s="337">
        <v>212000</v>
      </c>
      <c r="CI13" s="339">
        <v>137800</v>
      </c>
      <c r="CJ13" s="103">
        <v>0.48</v>
      </c>
      <c r="CM13" s="25" t="s">
        <v>1814</v>
      </c>
      <c r="CN13" s="25" t="s">
        <v>2010</v>
      </c>
      <c r="CO13" s="25" t="s">
        <v>947</v>
      </c>
      <c r="CP13" s="337">
        <v>181000</v>
      </c>
      <c r="CQ13" s="339">
        <v>117650</v>
      </c>
      <c r="CR13" s="29">
        <v>0.48</v>
      </c>
      <c r="CU13" s="25" t="s">
        <v>2011</v>
      </c>
      <c r="CV13" s="25" t="s">
        <v>1799</v>
      </c>
      <c r="CW13" s="25" t="s">
        <v>947</v>
      </c>
      <c r="CX13" s="339">
        <v>9010</v>
      </c>
      <c r="CY13" s="339">
        <v>5860</v>
      </c>
      <c r="CZ13" s="29">
        <v>0.08</v>
      </c>
      <c r="DC13" s="25" t="s">
        <v>1816</v>
      </c>
      <c r="DD13" s="25" t="s">
        <v>1977</v>
      </c>
      <c r="DE13" s="25" t="s">
        <v>947</v>
      </c>
      <c r="DF13" s="348">
        <v>75600</v>
      </c>
      <c r="DG13" s="339">
        <v>49140</v>
      </c>
      <c r="DH13" s="106">
        <v>0.32</v>
      </c>
      <c r="DK13" s="83" t="s">
        <v>1960</v>
      </c>
      <c r="DL13" s="25" t="s">
        <v>1880</v>
      </c>
      <c r="DM13" s="25" t="s">
        <v>1818</v>
      </c>
      <c r="DN13" s="339">
        <v>58900</v>
      </c>
      <c r="DO13" s="339">
        <v>38290</v>
      </c>
      <c r="DP13" s="29">
        <v>0.14000000000000001</v>
      </c>
      <c r="DS13" s="25" t="s">
        <v>1939</v>
      </c>
      <c r="DT13" s="25" t="s">
        <v>2012</v>
      </c>
      <c r="DU13" s="25" t="s">
        <v>1821</v>
      </c>
      <c r="DV13" s="326">
        <v>50300</v>
      </c>
      <c r="DW13" s="326">
        <v>13080</v>
      </c>
      <c r="DX13" s="29">
        <v>0.65</v>
      </c>
      <c r="EA13" s="25" t="s">
        <v>1822</v>
      </c>
      <c r="EB13" s="25" t="s">
        <v>2013</v>
      </c>
      <c r="EC13" s="25" t="s">
        <v>1824</v>
      </c>
      <c r="ED13" s="326">
        <v>645000</v>
      </c>
      <c r="EE13" s="326">
        <f t="shared" si="0"/>
        <v>354750</v>
      </c>
      <c r="EF13" s="29">
        <v>4.88</v>
      </c>
      <c r="EI13" s="25" t="s">
        <v>1996</v>
      </c>
      <c r="EJ13" s="25" t="s">
        <v>2014</v>
      </c>
      <c r="EK13" s="25" t="s">
        <v>1824</v>
      </c>
      <c r="EL13" s="326">
        <v>207000</v>
      </c>
      <c r="EM13" s="326">
        <f t="shared" ref="EM13:EM18" si="4">EL13*0.665</f>
        <v>137655</v>
      </c>
      <c r="EN13" s="29">
        <v>1.1399999999999999</v>
      </c>
      <c r="EQ13" s="25" t="s">
        <v>1981</v>
      </c>
      <c r="ER13" s="25" t="s">
        <v>2015</v>
      </c>
      <c r="ES13" s="25" t="s">
        <v>947</v>
      </c>
      <c r="ET13" s="326">
        <v>30000</v>
      </c>
      <c r="EU13" s="326">
        <f t="shared" si="3"/>
        <v>24000</v>
      </c>
      <c r="EV13" s="29">
        <v>0.08</v>
      </c>
      <c r="EY13" s="25" t="s">
        <v>2000</v>
      </c>
      <c r="EZ13" s="25" t="s">
        <v>2016</v>
      </c>
      <c r="FA13" s="25" t="s">
        <v>1719</v>
      </c>
      <c r="FB13" s="326">
        <v>223000</v>
      </c>
      <c r="FC13" s="326">
        <v>144950</v>
      </c>
      <c r="FD13" s="29">
        <v>0.4</v>
      </c>
      <c r="FG13" s="25" t="s">
        <v>1855</v>
      </c>
      <c r="FH13" s="25" t="s">
        <v>2017</v>
      </c>
      <c r="FI13" s="25" t="s">
        <v>1833</v>
      </c>
      <c r="FJ13" s="104">
        <v>18240</v>
      </c>
      <c r="FK13" s="104">
        <v>12220</v>
      </c>
      <c r="FL13" s="29">
        <v>0</v>
      </c>
      <c r="FO13" s="25" t="s">
        <v>1856</v>
      </c>
      <c r="FP13" s="25" t="s">
        <v>2017</v>
      </c>
      <c r="FQ13" s="25" t="s">
        <v>1833</v>
      </c>
      <c r="FR13" s="184">
        <v>12020</v>
      </c>
      <c r="FS13" s="184">
        <v>7460</v>
      </c>
      <c r="FT13" s="29">
        <v>0</v>
      </c>
      <c r="FW13" s="78" t="s">
        <v>334</v>
      </c>
    </row>
    <row r="14" spans="2:184">
      <c r="B14" s="25">
        <v>12</v>
      </c>
      <c r="C14" s="51" t="s">
        <v>2018</v>
      </c>
      <c r="D14" s="25" t="s">
        <v>2019</v>
      </c>
      <c r="E14" s="25">
        <v>12</v>
      </c>
      <c r="F14" s="25" t="s">
        <v>2020</v>
      </c>
      <c r="K14" s="25" t="s">
        <v>1986</v>
      </c>
      <c r="L14" s="25" t="s">
        <v>2021</v>
      </c>
      <c r="M14" s="25" t="s">
        <v>1795</v>
      </c>
      <c r="N14" s="339">
        <v>50330</v>
      </c>
      <c r="O14" s="339">
        <v>26680</v>
      </c>
      <c r="P14" s="29">
        <v>1.26</v>
      </c>
      <c r="S14" s="25" t="s">
        <v>2022</v>
      </c>
      <c r="T14" s="25" t="s">
        <v>1797</v>
      </c>
      <c r="U14" s="25" t="s">
        <v>2023</v>
      </c>
      <c r="V14" s="339">
        <v>16770</v>
      </c>
      <c r="W14" s="326">
        <v>13263.54545</v>
      </c>
      <c r="X14" s="29">
        <v>1.27</v>
      </c>
      <c r="AD14" s="350"/>
      <c r="AI14" s="25" t="s">
        <v>1953</v>
      </c>
      <c r="AJ14" s="25" t="s">
        <v>1899</v>
      </c>
      <c r="AK14" s="25" t="s">
        <v>77</v>
      </c>
      <c r="AL14" s="337">
        <v>5890</v>
      </c>
      <c r="AM14" s="340">
        <v>4130</v>
      </c>
      <c r="AN14" s="29">
        <v>0</v>
      </c>
      <c r="AQ14" s="25" t="s">
        <v>1802</v>
      </c>
      <c r="AR14" s="25" t="s">
        <v>2024</v>
      </c>
      <c r="AS14" s="25" t="s">
        <v>1795</v>
      </c>
      <c r="AT14" s="339">
        <v>8370</v>
      </c>
      <c r="AU14" s="339">
        <v>5440</v>
      </c>
      <c r="AV14" s="105">
        <v>0.43</v>
      </c>
      <c r="AW14" s="29"/>
      <c r="AY14" s="25" t="s">
        <v>2025</v>
      </c>
      <c r="AZ14" s="25" t="s">
        <v>2026</v>
      </c>
      <c r="BA14" s="25" t="s">
        <v>77</v>
      </c>
      <c r="BB14" s="208">
        <v>1100</v>
      </c>
      <c r="BC14" s="208">
        <v>660</v>
      </c>
      <c r="BD14" s="31">
        <v>0.08</v>
      </c>
      <c r="BG14" s="78" t="s">
        <v>1806</v>
      </c>
      <c r="BH14" s="83" t="s">
        <v>2027</v>
      </c>
      <c r="BI14" s="78" t="s">
        <v>1808</v>
      </c>
      <c r="BJ14" s="337">
        <v>249000</v>
      </c>
      <c r="BK14" s="337">
        <v>161850</v>
      </c>
      <c r="BL14" s="25">
        <v>0.65</v>
      </c>
      <c r="BO14" s="25" t="s">
        <v>1809</v>
      </c>
      <c r="BP14" s="25" t="s">
        <v>2028</v>
      </c>
      <c r="BQ14" s="25" t="s">
        <v>947</v>
      </c>
      <c r="BR14" s="339">
        <v>247000</v>
      </c>
      <c r="BS14" s="339">
        <v>160550</v>
      </c>
      <c r="BT14" s="29">
        <v>0.56999999999999995</v>
      </c>
      <c r="CE14" s="83" t="s">
        <v>1813</v>
      </c>
      <c r="CF14" s="78" t="s">
        <v>2027</v>
      </c>
      <c r="CG14" s="78" t="s">
        <v>1808</v>
      </c>
      <c r="CH14" s="337">
        <v>378000</v>
      </c>
      <c r="CI14" s="339">
        <v>245700</v>
      </c>
      <c r="CJ14" s="103">
        <v>0.56999999999999995</v>
      </c>
      <c r="CM14" s="25" t="s">
        <v>1814</v>
      </c>
      <c r="CN14" s="25" t="s">
        <v>2029</v>
      </c>
      <c r="CO14" s="25" t="s">
        <v>947</v>
      </c>
      <c r="CP14" s="337">
        <v>309000</v>
      </c>
      <c r="CQ14" s="339">
        <v>200850</v>
      </c>
      <c r="CR14" s="29">
        <v>0.56999999999999995</v>
      </c>
      <c r="CU14" s="25" t="s">
        <v>2011</v>
      </c>
      <c r="CV14" s="25" t="s">
        <v>1841</v>
      </c>
      <c r="CW14" s="25" t="s">
        <v>947</v>
      </c>
      <c r="CX14" s="339">
        <v>9970</v>
      </c>
      <c r="CY14" s="339">
        <v>6480</v>
      </c>
      <c r="CZ14" s="29">
        <v>0.09</v>
      </c>
      <c r="DC14" s="25" t="s">
        <v>1816</v>
      </c>
      <c r="DD14" s="25" t="s">
        <v>1993</v>
      </c>
      <c r="DE14" s="25" t="s">
        <v>947</v>
      </c>
      <c r="DF14" s="348">
        <v>93100</v>
      </c>
      <c r="DG14" s="339">
        <v>60520</v>
      </c>
      <c r="DH14" s="106">
        <v>0.39</v>
      </c>
      <c r="DK14" s="83" t="s">
        <v>1960</v>
      </c>
      <c r="DL14" s="25" t="s">
        <v>1899</v>
      </c>
      <c r="DM14" s="25" t="s">
        <v>1818</v>
      </c>
      <c r="DN14" s="339">
        <v>76000</v>
      </c>
      <c r="DO14" s="339">
        <v>49400</v>
      </c>
      <c r="DP14" s="29">
        <v>0.16</v>
      </c>
      <c r="DS14" s="25" t="s">
        <v>1939</v>
      </c>
      <c r="DT14" s="25" t="s">
        <v>2030</v>
      </c>
      <c r="DU14" s="25" t="s">
        <v>1821</v>
      </c>
      <c r="DV14" s="326">
        <v>95100</v>
      </c>
      <c r="DW14" s="326">
        <v>24730</v>
      </c>
      <c r="DX14" s="29">
        <v>0.95</v>
      </c>
      <c r="EA14" s="25" t="s">
        <v>1822</v>
      </c>
      <c r="EB14" s="25" t="s">
        <v>2031</v>
      </c>
      <c r="EC14" s="25" t="s">
        <v>1824</v>
      </c>
      <c r="ED14" s="326">
        <v>861000</v>
      </c>
      <c r="EE14" s="326">
        <f t="shared" si="0"/>
        <v>473550.00000000006</v>
      </c>
      <c r="EF14" s="29">
        <v>5.57</v>
      </c>
      <c r="EI14" s="25" t="s">
        <v>1996</v>
      </c>
      <c r="EJ14" s="25" t="s">
        <v>2032</v>
      </c>
      <c r="EK14" s="25" t="s">
        <v>1824</v>
      </c>
      <c r="EL14" s="326">
        <v>231000</v>
      </c>
      <c r="EM14" s="326">
        <f t="shared" si="4"/>
        <v>153615</v>
      </c>
      <c r="EN14" s="29">
        <v>1.61</v>
      </c>
      <c r="EQ14" s="25" t="s">
        <v>1981</v>
      </c>
      <c r="ER14" s="25" t="s">
        <v>2033</v>
      </c>
      <c r="ES14" s="25" t="s">
        <v>947</v>
      </c>
      <c r="ET14" s="326">
        <v>19200</v>
      </c>
      <c r="EU14" s="326">
        <f>ET14*0.8</f>
        <v>15360</v>
      </c>
      <c r="EV14" s="29">
        <v>0.08</v>
      </c>
      <c r="EY14" s="25" t="s">
        <v>2000</v>
      </c>
      <c r="EZ14" s="25" t="s">
        <v>2034</v>
      </c>
      <c r="FA14" s="25" t="s">
        <v>1719</v>
      </c>
      <c r="FB14" s="326">
        <v>267000</v>
      </c>
      <c r="FC14" s="326">
        <v>173550</v>
      </c>
      <c r="FD14" s="29">
        <v>0.4</v>
      </c>
      <c r="FG14" s="25" t="s">
        <v>1855</v>
      </c>
      <c r="FH14" s="25" t="s">
        <v>2035</v>
      </c>
      <c r="FI14" s="25" t="s">
        <v>1833</v>
      </c>
      <c r="FJ14" s="104">
        <v>35540</v>
      </c>
      <c r="FK14" s="104">
        <v>23810</v>
      </c>
      <c r="FL14" s="29">
        <v>1</v>
      </c>
      <c r="FO14" s="25" t="s">
        <v>1856</v>
      </c>
      <c r="FP14" s="25" t="s">
        <v>2035</v>
      </c>
      <c r="FQ14" s="25" t="s">
        <v>1833</v>
      </c>
      <c r="FR14" s="184">
        <v>17190</v>
      </c>
      <c r="FS14" s="184">
        <v>10670</v>
      </c>
      <c r="FT14" s="29">
        <v>0</v>
      </c>
      <c r="FW14" s="25" t="s">
        <v>2036</v>
      </c>
      <c r="FX14" s="25" t="s">
        <v>1799</v>
      </c>
      <c r="FY14" s="25" t="s">
        <v>1836</v>
      </c>
      <c r="FZ14" s="326">
        <v>770</v>
      </c>
      <c r="GA14" s="326">
        <v>650</v>
      </c>
      <c r="GB14" s="29">
        <v>0.02</v>
      </c>
    </row>
    <row r="15" spans="2:184">
      <c r="B15" s="25">
        <v>13</v>
      </c>
      <c r="C15" s="51" t="s">
        <v>2037</v>
      </c>
      <c r="D15" s="25" t="s">
        <v>2038</v>
      </c>
      <c r="E15" s="25">
        <v>13</v>
      </c>
      <c r="F15" s="25" t="s">
        <v>117</v>
      </c>
      <c r="I15" s="25" t="s">
        <v>2039</v>
      </c>
      <c r="K15" s="25" t="s">
        <v>1986</v>
      </c>
      <c r="L15" s="25" t="s">
        <v>2040</v>
      </c>
      <c r="M15" s="25" t="s">
        <v>1795</v>
      </c>
      <c r="N15" s="339">
        <v>97500</v>
      </c>
      <c r="O15" s="339">
        <v>51670</v>
      </c>
      <c r="P15" s="29">
        <v>1.79</v>
      </c>
      <c r="S15" s="25" t="s">
        <v>2022</v>
      </c>
      <c r="T15" s="25" t="s">
        <v>1840</v>
      </c>
      <c r="U15" s="25" t="s">
        <v>2023</v>
      </c>
      <c r="V15" s="339">
        <v>22960</v>
      </c>
      <c r="W15" s="326">
        <v>18435.036499999998</v>
      </c>
      <c r="X15" s="29">
        <v>1.6</v>
      </c>
      <c r="AD15" s="350"/>
      <c r="AI15" s="25" t="s">
        <v>1953</v>
      </c>
      <c r="AJ15" s="25" t="s">
        <v>1916</v>
      </c>
      <c r="AK15" s="25" t="s">
        <v>77</v>
      </c>
      <c r="AL15" s="337">
        <v>8760</v>
      </c>
      <c r="AM15" s="340">
        <v>6180</v>
      </c>
      <c r="AN15" s="29">
        <v>0</v>
      </c>
      <c r="AQ15" s="78" t="s">
        <v>334</v>
      </c>
      <c r="AT15" s="109"/>
      <c r="AU15" s="109"/>
      <c r="AY15" s="25" t="s">
        <v>2025</v>
      </c>
      <c r="AZ15" s="25" t="s">
        <v>2041</v>
      </c>
      <c r="BA15" s="25" t="s">
        <v>77</v>
      </c>
      <c r="BB15" s="207">
        <v>1380</v>
      </c>
      <c r="BC15" s="207">
        <v>830</v>
      </c>
      <c r="BD15" s="31">
        <v>0.09</v>
      </c>
      <c r="BG15" s="78" t="s">
        <v>1806</v>
      </c>
      <c r="BH15" s="83" t="s">
        <v>2042</v>
      </c>
      <c r="BI15" s="78" t="s">
        <v>1808</v>
      </c>
      <c r="BJ15" s="337">
        <v>271000</v>
      </c>
      <c r="BK15" s="337">
        <v>176150</v>
      </c>
      <c r="BL15" s="25">
        <v>0.95</v>
      </c>
      <c r="BO15" s="25" t="s">
        <v>1809</v>
      </c>
      <c r="BP15" s="25" t="s">
        <v>2043</v>
      </c>
      <c r="BQ15" s="25" t="s">
        <v>947</v>
      </c>
      <c r="BR15" s="339">
        <v>336000</v>
      </c>
      <c r="BS15" s="339">
        <v>218400</v>
      </c>
      <c r="BT15" s="29">
        <v>0.65</v>
      </c>
      <c r="CE15" s="83" t="s">
        <v>1813</v>
      </c>
      <c r="CF15" s="78" t="s">
        <v>2042</v>
      </c>
      <c r="CG15" s="78" t="s">
        <v>1808</v>
      </c>
      <c r="CH15" s="337">
        <v>520000</v>
      </c>
      <c r="CI15" s="339">
        <v>338000</v>
      </c>
      <c r="CJ15" s="103">
        <v>0.65</v>
      </c>
      <c r="CM15" s="25" t="s">
        <v>1814</v>
      </c>
      <c r="CN15" s="25" t="s">
        <v>2044</v>
      </c>
      <c r="CO15" s="25" t="s">
        <v>947</v>
      </c>
      <c r="CP15" s="337">
        <v>326000</v>
      </c>
      <c r="CQ15" s="339">
        <v>211900</v>
      </c>
      <c r="CR15" s="29">
        <v>0.65</v>
      </c>
      <c r="CU15" s="25" t="s">
        <v>2011</v>
      </c>
      <c r="CV15" s="25" t="s">
        <v>1862</v>
      </c>
      <c r="CW15" s="25" t="s">
        <v>947</v>
      </c>
      <c r="CX15" s="339">
        <v>14100</v>
      </c>
      <c r="CY15" s="339">
        <v>9170</v>
      </c>
      <c r="CZ15" s="29">
        <v>0.12</v>
      </c>
      <c r="DC15" s="25" t="s">
        <v>1816</v>
      </c>
      <c r="DD15" s="25" t="s">
        <v>2010</v>
      </c>
      <c r="DE15" s="25" t="s">
        <v>947</v>
      </c>
      <c r="DF15" s="348">
        <v>126000</v>
      </c>
      <c r="DG15" s="339">
        <v>81900</v>
      </c>
      <c r="DH15" s="106">
        <v>0.48</v>
      </c>
      <c r="DK15" s="83" t="s">
        <v>1960</v>
      </c>
      <c r="DL15" s="25" t="s">
        <v>1916</v>
      </c>
      <c r="DM15" s="25" t="s">
        <v>1818</v>
      </c>
      <c r="DN15" s="339">
        <v>85300</v>
      </c>
      <c r="DO15" s="339">
        <v>55450</v>
      </c>
      <c r="DP15" s="29">
        <v>0.18</v>
      </c>
      <c r="DS15" s="78" t="s">
        <v>334</v>
      </c>
      <c r="EA15" s="78" t="s">
        <v>334</v>
      </c>
      <c r="EI15" s="25" t="s">
        <v>1996</v>
      </c>
      <c r="EJ15" s="25" t="s">
        <v>2045</v>
      </c>
      <c r="EK15" s="25" t="s">
        <v>1824</v>
      </c>
      <c r="EL15" s="326">
        <v>251000</v>
      </c>
      <c r="EM15" s="326">
        <f t="shared" si="4"/>
        <v>166915</v>
      </c>
      <c r="EN15" s="29">
        <v>1.8</v>
      </c>
      <c r="ET15" s="43"/>
      <c r="EY15" s="25" t="s">
        <v>2000</v>
      </c>
      <c r="EZ15" s="25" t="s">
        <v>2046</v>
      </c>
      <c r="FA15" s="25" t="s">
        <v>1719</v>
      </c>
      <c r="FB15" s="326">
        <v>278600</v>
      </c>
      <c r="FC15" s="326">
        <v>222880</v>
      </c>
      <c r="FD15" s="29">
        <v>0.5</v>
      </c>
      <c r="FG15" s="25" t="s">
        <v>1855</v>
      </c>
      <c r="FH15" s="25" t="s">
        <v>2047</v>
      </c>
      <c r="FI15" s="25" t="s">
        <v>1833</v>
      </c>
      <c r="FJ15" s="104">
        <v>43770</v>
      </c>
      <c r="FK15" s="104">
        <v>29320</v>
      </c>
      <c r="FL15" s="29">
        <v>2</v>
      </c>
      <c r="FO15" s="25" t="s">
        <v>1856</v>
      </c>
      <c r="FP15" s="25" t="s">
        <v>2047</v>
      </c>
      <c r="FQ15" s="25" t="s">
        <v>1833</v>
      </c>
      <c r="FR15" s="184">
        <v>21780</v>
      </c>
      <c r="FS15" s="184">
        <v>13530</v>
      </c>
      <c r="FT15" s="29">
        <v>0</v>
      </c>
      <c r="FW15" s="25" t="s">
        <v>2036</v>
      </c>
      <c r="FX15" s="25" t="s">
        <v>1841</v>
      </c>
      <c r="FY15" s="25" t="s">
        <v>1836</v>
      </c>
      <c r="FZ15" s="326">
        <v>820</v>
      </c>
      <c r="GA15" s="326">
        <v>700</v>
      </c>
      <c r="GB15" s="29">
        <v>0.02</v>
      </c>
    </row>
    <row r="16" spans="2:184">
      <c r="B16" s="25">
        <v>14</v>
      </c>
      <c r="C16" s="51" t="s">
        <v>2048</v>
      </c>
      <c r="D16" s="25" t="s">
        <v>2049</v>
      </c>
      <c r="E16" s="25">
        <v>14</v>
      </c>
      <c r="F16" s="23" t="s">
        <v>2050</v>
      </c>
      <c r="I16" s="25">
        <v>1.2</v>
      </c>
      <c r="K16" s="25" t="s">
        <v>1986</v>
      </c>
      <c r="L16" s="25" t="s">
        <v>2051</v>
      </c>
      <c r="M16" s="25" t="s">
        <v>1795</v>
      </c>
      <c r="N16" s="339">
        <v>117500</v>
      </c>
      <c r="O16" s="339">
        <v>62280</v>
      </c>
      <c r="P16" s="29">
        <v>2.37</v>
      </c>
      <c r="S16" s="25" t="s">
        <v>2022</v>
      </c>
      <c r="T16" s="25" t="s">
        <v>1861</v>
      </c>
      <c r="U16" s="25" t="s">
        <v>2023</v>
      </c>
      <c r="V16" s="339">
        <v>32340</v>
      </c>
      <c r="W16" s="326">
        <v>26026</v>
      </c>
      <c r="X16" s="29">
        <v>2.04</v>
      </c>
      <c r="AD16" s="350"/>
      <c r="AI16" s="25" t="s">
        <v>1953</v>
      </c>
      <c r="AJ16" s="25" t="s">
        <v>1934</v>
      </c>
      <c r="AK16" s="25" t="s">
        <v>77</v>
      </c>
      <c r="AL16" s="337">
        <v>20020</v>
      </c>
      <c r="AM16" s="340">
        <v>11290</v>
      </c>
      <c r="AN16" s="29">
        <v>0</v>
      </c>
      <c r="AQ16" s="25" t="s">
        <v>1802</v>
      </c>
      <c r="AR16" s="25" t="s">
        <v>2052</v>
      </c>
      <c r="AS16" s="25" t="s">
        <v>1795</v>
      </c>
      <c r="AT16" s="339">
        <v>460</v>
      </c>
      <c r="AU16" s="339">
        <v>300</v>
      </c>
      <c r="AV16" s="105">
        <v>0.12</v>
      </c>
      <c r="AY16" s="25" t="s">
        <v>2025</v>
      </c>
      <c r="AZ16" s="25" t="s">
        <v>2053</v>
      </c>
      <c r="BA16" s="25" t="s">
        <v>77</v>
      </c>
      <c r="BB16" s="207">
        <v>1620</v>
      </c>
      <c r="BC16" s="207">
        <v>970</v>
      </c>
      <c r="BD16" s="31">
        <v>0.12</v>
      </c>
      <c r="BG16" s="78" t="s">
        <v>1806</v>
      </c>
      <c r="BH16" s="83" t="s">
        <v>2054</v>
      </c>
      <c r="BI16" s="78" t="s">
        <v>1808</v>
      </c>
      <c r="BJ16" s="337">
        <v>378000</v>
      </c>
      <c r="BK16" s="337">
        <v>245700</v>
      </c>
      <c r="BL16" s="25">
        <v>1.04</v>
      </c>
      <c r="BO16" s="25" t="s">
        <v>1809</v>
      </c>
      <c r="BP16" s="25" t="s">
        <v>2055</v>
      </c>
      <c r="BQ16" s="25" t="s">
        <v>947</v>
      </c>
      <c r="BR16" s="339">
        <v>500000</v>
      </c>
      <c r="BS16" s="339">
        <v>325000</v>
      </c>
      <c r="BT16" s="29">
        <v>0.95</v>
      </c>
      <c r="CE16" s="83" t="s">
        <v>1813</v>
      </c>
      <c r="CF16" s="78" t="s">
        <v>2054</v>
      </c>
      <c r="CG16" s="78" t="s">
        <v>1808</v>
      </c>
      <c r="CH16" s="337">
        <v>825000</v>
      </c>
      <c r="CI16" s="339">
        <v>536250</v>
      </c>
      <c r="CJ16" s="103">
        <v>0.95</v>
      </c>
      <c r="CM16" s="25" t="s">
        <v>1814</v>
      </c>
      <c r="CN16" s="25" t="s">
        <v>2056</v>
      </c>
      <c r="CO16" s="25" t="s">
        <v>947</v>
      </c>
      <c r="CP16" s="337">
        <v>554000</v>
      </c>
      <c r="CQ16" s="339">
        <v>360100</v>
      </c>
      <c r="CR16" s="29">
        <v>0.95</v>
      </c>
      <c r="CU16" s="25" t="s">
        <v>2011</v>
      </c>
      <c r="CV16" s="25" t="s">
        <v>1880</v>
      </c>
      <c r="CW16" s="25" t="s">
        <v>947</v>
      </c>
      <c r="CX16" s="339">
        <v>21100</v>
      </c>
      <c r="CY16" s="339">
        <v>13720</v>
      </c>
      <c r="CZ16" s="29">
        <v>0.14000000000000001</v>
      </c>
      <c r="DC16" s="25" t="s">
        <v>1816</v>
      </c>
      <c r="DD16" s="25" t="s">
        <v>2029</v>
      </c>
      <c r="DE16" s="25" t="s">
        <v>947</v>
      </c>
      <c r="DF16" s="348">
        <v>202000</v>
      </c>
      <c r="DG16" s="339">
        <v>131300</v>
      </c>
      <c r="DH16" s="106">
        <v>0.56999999999999995</v>
      </c>
      <c r="DK16" s="78" t="s">
        <v>334</v>
      </c>
      <c r="DN16" s="107"/>
      <c r="DO16" s="107"/>
      <c r="DS16" s="25" t="s">
        <v>1819</v>
      </c>
      <c r="DT16" s="25" t="s">
        <v>2057</v>
      </c>
      <c r="DU16" s="25" t="s">
        <v>1821</v>
      </c>
      <c r="DV16" s="326">
        <v>4400</v>
      </c>
      <c r="DW16" s="326">
        <v>2020</v>
      </c>
      <c r="DX16" s="29">
        <v>0.12</v>
      </c>
      <c r="EA16" s="25" t="s">
        <v>2058</v>
      </c>
      <c r="EB16" s="25" t="s">
        <v>2059</v>
      </c>
      <c r="EC16" s="25" t="s">
        <v>947</v>
      </c>
      <c r="ED16" s="326">
        <v>2350</v>
      </c>
      <c r="EE16" s="326">
        <f>ROUND(ED16*0.65,-1)</f>
        <v>1530</v>
      </c>
      <c r="EF16" s="29">
        <v>0.12</v>
      </c>
      <c r="EI16" s="25" t="s">
        <v>1996</v>
      </c>
      <c r="EJ16" s="25" t="s">
        <v>2060</v>
      </c>
      <c r="EK16" s="25" t="s">
        <v>1824</v>
      </c>
      <c r="EL16" s="326">
        <v>272000</v>
      </c>
      <c r="EM16" s="326">
        <f t="shared" si="4"/>
        <v>180880</v>
      </c>
      <c r="EN16" s="29">
        <v>2.2599999999999998</v>
      </c>
      <c r="EY16" s="25" t="s">
        <v>2000</v>
      </c>
      <c r="EZ16" s="25" t="s">
        <v>2061</v>
      </c>
      <c r="FA16" s="25" t="s">
        <v>1719</v>
      </c>
      <c r="FB16" s="326">
        <v>340600</v>
      </c>
      <c r="FC16" s="326">
        <v>272480</v>
      </c>
      <c r="FD16" s="29">
        <v>0.5</v>
      </c>
      <c r="FG16" s="25" t="s">
        <v>1855</v>
      </c>
      <c r="FH16" s="25" t="s">
        <v>2062</v>
      </c>
      <c r="FI16" s="25" t="s">
        <v>1833</v>
      </c>
      <c r="FJ16" s="104">
        <v>53200</v>
      </c>
      <c r="FK16" s="104">
        <v>35640</v>
      </c>
      <c r="FL16" s="29">
        <v>3</v>
      </c>
      <c r="FO16" s="25" t="s">
        <v>1856</v>
      </c>
      <c r="FP16" s="25" t="s">
        <v>2062</v>
      </c>
      <c r="FQ16" s="25" t="s">
        <v>1833</v>
      </c>
      <c r="FR16" s="184">
        <v>26510</v>
      </c>
      <c r="FS16" s="184">
        <v>16470</v>
      </c>
      <c r="FT16" s="29">
        <v>0</v>
      </c>
      <c r="FW16" s="25" t="s">
        <v>2036</v>
      </c>
      <c r="FX16" s="25" t="s">
        <v>1862</v>
      </c>
      <c r="FY16" s="25" t="s">
        <v>1836</v>
      </c>
      <c r="FZ16" s="326">
        <v>870</v>
      </c>
      <c r="GA16" s="326">
        <v>710</v>
      </c>
      <c r="GB16" s="29">
        <v>0.03</v>
      </c>
    </row>
    <row r="17" spans="2:184">
      <c r="B17" s="25">
        <v>15</v>
      </c>
      <c r="C17" s="51" t="s">
        <v>2063</v>
      </c>
      <c r="D17" s="25" t="s">
        <v>2064</v>
      </c>
      <c r="E17" s="25">
        <v>15</v>
      </c>
      <c r="F17" s="25" t="s">
        <v>2065</v>
      </c>
      <c r="I17" s="25">
        <v>0.11</v>
      </c>
      <c r="S17" s="25" t="s">
        <v>2022</v>
      </c>
      <c r="T17" s="25" t="s">
        <v>1879</v>
      </c>
      <c r="U17" s="25" t="s">
        <v>2023</v>
      </c>
      <c r="V17" s="339">
        <v>37930</v>
      </c>
      <c r="W17" s="326">
        <v>30405.4251</v>
      </c>
      <c r="X17" s="29">
        <v>2.31</v>
      </c>
      <c r="AD17" s="350"/>
      <c r="AI17" s="25" t="s">
        <v>2066</v>
      </c>
      <c r="AJ17" s="25" t="s">
        <v>1799</v>
      </c>
      <c r="AK17" s="25" t="s">
        <v>77</v>
      </c>
      <c r="AL17" s="337">
        <v>2050</v>
      </c>
      <c r="AM17" s="340">
        <v>1500</v>
      </c>
      <c r="AN17" s="29">
        <v>0</v>
      </c>
      <c r="AQ17" s="25" t="s">
        <v>1802</v>
      </c>
      <c r="AR17" s="25" t="s">
        <v>2067</v>
      </c>
      <c r="AS17" s="25" t="s">
        <v>1795</v>
      </c>
      <c r="AT17" s="339">
        <v>570</v>
      </c>
      <c r="AU17" s="339">
        <v>370</v>
      </c>
      <c r="AV17" s="105">
        <v>0.15</v>
      </c>
      <c r="AY17" s="25" t="s">
        <v>2025</v>
      </c>
      <c r="AZ17" s="25" t="s">
        <v>2068</v>
      </c>
      <c r="BA17" s="25" t="s">
        <v>77</v>
      </c>
      <c r="BB17" s="207">
        <v>2060</v>
      </c>
      <c r="BC17" s="207">
        <v>1240</v>
      </c>
      <c r="BD17" s="31">
        <v>0.14000000000000001</v>
      </c>
      <c r="BG17" s="78" t="s">
        <v>334</v>
      </c>
      <c r="BH17" s="78"/>
      <c r="BI17" s="78"/>
      <c r="BJ17" s="79"/>
      <c r="BK17" s="79"/>
      <c r="BO17" s="25" t="s">
        <v>1809</v>
      </c>
      <c r="BP17" s="25" t="s">
        <v>2069</v>
      </c>
      <c r="BQ17" s="25" t="s">
        <v>947</v>
      </c>
      <c r="BR17" s="339">
        <v>730000</v>
      </c>
      <c r="BS17" s="339">
        <v>474500</v>
      </c>
      <c r="BT17" s="29">
        <v>1.1299999999999999</v>
      </c>
      <c r="CU17" s="25" t="s">
        <v>2011</v>
      </c>
      <c r="CV17" s="25" t="s">
        <v>1899</v>
      </c>
      <c r="CW17" s="25" t="s">
        <v>947</v>
      </c>
      <c r="CX17" s="339">
        <v>26300</v>
      </c>
      <c r="CY17" s="339">
        <v>17100</v>
      </c>
      <c r="CZ17" s="29">
        <v>0.16</v>
      </c>
      <c r="DC17" s="25" t="s">
        <v>1816</v>
      </c>
      <c r="DD17" s="25" t="s">
        <v>2044</v>
      </c>
      <c r="DE17" s="25" t="s">
        <v>947</v>
      </c>
      <c r="DF17" s="348">
        <v>252000</v>
      </c>
      <c r="DG17" s="339">
        <v>163800</v>
      </c>
      <c r="DH17" s="106">
        <v>0.65</v>
      </c>
      <c r="DK17" s="25" t="s">
        <v>2070</v>
      </c>
      <c r="DL17" s="83" t="s">
        <v>1812</v>
      </c>
      <c r="DM17" s="25" t="s">
        <v>77</v>
      </c>
      <c r="DN17" s="339">
        <v>136000</v>
      </c>
      <c r="DO17" s="339">
        <v>88400</v>
      </c>
      <c r="DP17" s="29">
        <v>0.18</v>
      </c>
      <c r="DS17" s="25" t="s">
        <v>1819</v>
      </c>
      <c r="DT17" s="25" t="s">
        <v>2071</v>
      </c>
      <c r="DU17" s="25" t="s">
        <v>1821</v>
      </c>
      <c r="DV17" s="326">
        <v>5800</v>
      </c>
      <c r="DW17" s="326">
        <v>2670</v>
      </c>
      <c r="DX17" s="29">
        <v>0.12</v>
      </c>
      <c r="EA17" s="25" t="s">
        <v>2058</v>
      </c>
      <c r="EB17" s="25" t="s">
        <v>2072</v>
      </c>
      <c r="EC17" s="25" t="s">
        <v>947</v>
      </c>
      <c r="ED17" s="326">
        <v>2900</v>
      </c>
      <c r="EE17" s="326">
        <f t="shared" ref="EE17:EE31" si="5">ROUND(ED17*0.65,-1)</f>
        <v>1890</v>
      </c>
      <c r="EF17" s="29">
        <v>0.12</v>
      </c>
      <c r="EI17" s="25" t="s">
        <v>1996</v>
      </c>
      <c r="EJ17" s="25" t="s">
        <v>2073</v>
      </c>
      <c r="EK17" s="25" t="s">
        <v>1824</v>
      </c>
      <c r="EL17" s="326">
        <v>351000</v>
      </c>
      <c r="EM17" s="326">
        <f t="shared" si="4"/>
        <v>233415</v>
      </c>
      <c r="EN17" s="29">
        <v>2.72</v>
      </c>
      <c r="EY17" s="25" t="s">
        <v>2000</v>
      </c>
      <c r="EZ17" s="25" t="s">
        <v>2074</v>
      </c>
      <c r="FA17" s="25" t="s">
        <v>1719</v>
      </c>
      <c r="FB17" s="326">
        <v>353400</v>
      </c>
      <c r="FC17" s="326">
        <v>282720</v>
      </c>
      <c r="FD17" s="29">
        <v>0.5</v>
      </c>
      <c r="FG17" s="78" t="s">
        <v>334</v>
      </c>
      <c r="FO17" s="78" t="s">
        <v>334</v>
      </c>
      <c r="FW17" s="25" t="s">
        <v>2036</v>
      </c>
      <c r="FX17" s="25" t="s">
        <v>1880</v>
      </c>
      <c r="FY17" s="25" t="s">
        <v>1836</v>
      </c>
      <c r="FZ17" s="326">
        <v>930</v>
      </c>
      <c r="GA17" s="326">
        <v>770</v>
      </c>
      <c r="GB17" s="29">
        <v>0.03</v>
      </c>
    </row>
    <row r="18" spans="2:184">
      <c r="B18" s="25">
        <v>16</v>
      </c>
      <c r="C18" s="51" t="s">
        <v>2075</v>
      </c>
      <c r="D18" s="25" t="s">
        <v>2076</v>
      </c>
      <c r="E18" s="25">
        <v>16</v>
      </c>
      <c r="F18" s="25" t="s">
        <v>1913</v>
      </c>
      <c r="S18" s="25" t="s">
        <v>2022</v>
      </c>
      <c r="T18" s="25" t="s">
        <v>1898</v>
      </c>
      <c r="U18" s="25" t="s">
        <v>2023</v>
      </c>
      <c r="V18" s="339">
        <v>52740</v>
      </c>
      <c r="W18" s="326">
        <v>42133.884299999998</v>
      </c>
      <c r="X18" s="29">
        <v>3.14</v>
      </c>
      <c r="AD18" s="350"/>
      <c r="AI18" s="25" t="s">
        <v>2077</v>
      </c>
      <c r="AJ18" s="25" t="s">
        <v>1841</v>
      </c>
      <c r="AK18" s="25" t="s">
        <v>77</v>
      </c>
      <c r="AL18" s="337">
        <v>2940</v>
      </c>
      <c r="AM18" s="340">
        <v>2180</v>
      </c>
      <c r="AN18" s="29">
        <v>0</v>
      </c>
      <c r="AQ18" s="25" t="s">
        <v>1802</v>
      </c>
      <c r="AR18" s="25" t="s">
        <v>2078</v>
      </c>
      <c r="AS18" s="25" t="s">
        <v>1795</v>
      </c>
      <c r="AT18" s="339">
        <v>880</v>
      </c>
      <c r="AU18" s="339">
        <v>570</v>
      </c>
      <c r="AV18" s="105">
        <v>0.2</v>
      </c>
      <c r="AY18" s="78" t="s">
        <v>334</v>
      </c>
      <c r="BB18" s="43"/>
      <c r="BC18" s="43"/>
      <c r="BD18" s="31"/>
      <c r="BG18" s="78" t="s">
        <v>1806</v>
      </c>
      <c r="BH18" s="78" t="s">
        <v>2079</v>
      </c>
      <c r="BI18" s="78" t="s">
        <v>1808</v>
      </c>
      <c r="BJ18" s="339">
        <v>4380</v>
      </c>
      <c r="BK18" s="339">
        <v>2850</v>
      </c>
      <c r="BL18" s="25">
        <v>0.08</v>
      </c>
      <c r="BO18" s="25" t="s">
        <v>1809</v>
      </c>
      <c r="BP18" s="25" t="s">
        <v>2080</v>
      </c>
      <c r="BQ18" s="25" t="s">
        <v>947</v>
      </c>
      <c r="BR18" s="339">
        <v>1074000</v>
      </c>
      <c r="BS18" s="339">
        <v>698100</v>
      </c>
      <c r="BT18" s="29">
        <v>1.4</v>
      </c>
      <c r="CU18" s="25" t="s">
        <v>2011</v>
      </c>
      <c r="CV18" s="25" t="s">
        <v>1916</v>
      </c>
      <c r="CW18" s="25" t="s">
        <v>947</v>
      </c>
      <c r="CX18" s="339">
        <v>40300</v>
      </c>
      <c r="CY18" s="339">
        <v>26200</v>
      </c>
      <c r="CZ18" s="29">
        <v>0.18</v>
      </c>
      <c r="DC18" s="25" t="s">
        <v>1816</v>
      </c>
      <c r="DD18" s="25" t="s">
        <v>2056</v>
      </c>
      <c r="DE18" s="25" t="s">
        <v>947</v>
      </c>
      <c r="DF18" s="348">
        <v>349000</v>
      </c>
      <c r="DG18" s="339">
        <v>226850</v>
      </c>
      <c r="DH18" s="106">
        <v>0.95</v>
      </c>
      <c r="DK18" s="25" t="s">
        <v>2070</v>
      </c>
      <c r="DL18" s="83" t="s">
        <v>1846</v>
      </c>
      <c r="DM18" s="25" t="s">
        <v>77</v>
      </c>
      <c r="DN18" s="339">
        <v>137000</v>
      </c>
      <c r="DO18" s="339">
        <v>89050</v>
      </c>
      <c r="DP18" s="29">
        <v>0.32</v>
      </c>
      <c r="DS18" s="25" t="s">
        <v>1819</v>
      </c>
      <c r="DT18" s="25" t="s">
        <v>2081</v>
      </c>
      <c r="DU18" s="25" t="s">
        <v>1821</v>
      </c>
      <c r="DV18" s="326">
        <v>7000</v>
      </c>
      <c r="DW18" s="326">
        <v>3220</v>
      </c>
      <c r="DX18" s="29">
        <v>0.14000000000000001</v>
      </c>
      <c r="EA18" s="25" t="s">
        <v>2058</v>
      </c>
      <c r="EB18" s="25" t="s">
        <v>2082</v>
      </c>
      <c r="EC18" s="25" t="s">
        <v>947</v>
      </c>
      <c r="ED18" s="326">
        <v>3820</v>
      </c>
      <c r="EE18" s="326">
        <f t="shared" si="5"/>
        <v>2480</v>
      </c>
      <c r="EF18" s="29">
        <v>0.14000000000000001</v>
      </c>
      <c r="EI18" s="25" t="s">
        <v>1996</v>
      </c>
      <c r="EJ18" s="25" t="s">
        <v>2083</v>
      </c>
      <c r="EK18" s="25" t="s">
        <v>1824</v>
      </c>
      <c r="EL18" s="326">
        <v>453000</v>
      </c>
      <c r="EM18" s="326">
        <f t="shared" si="4"/>
        <v>301245</v>
      </c>
      <c r="EN18" s="29">
        <v>3.2</v>
      </c>
      <c r="FG18" s="25" t="s">
        <v>2084</v>
      </c>
      <c r="FH18" s="25" t="s">
        <v>1799</v>
      </c>
      <c r="FI18" s="25" t="s">
        <v>1833</v>
      </c>
      <c r="FJ18" s="104">
        <v>10680</v>
      </c>
      <c r="FK18" s="104">
        <v>7160</v>
      </c>
      <c r="FL18" s="29">
        <v>0</v>
      </c>
      <c r="FO18" s="25" t="s">
        <v>2085</v>
      </c>
      <c r="FP18" s="25" t="s">
        <v>2086</v>
      </c>
      <c r="FQ18" s="25" t="s">
        <v>2087</v>
      </c>
      <c r="FT18" s="29">
        <v>0</v>
      </c>
      <c r="FW18" s="25" t="s">
        <v>2036</v>
      </c>
      <c r="FX18" s="25" t="s">
        <v>1899</v>
      </c>
      <c r="FY18" s="25" t="s">
        <v>1836</v>
      </c>
      <c r="FZ18" s="326">
        <v>1040</v>
      </c>
      <c r="GA18" s="326">
        <v>880</v>
      </c>
      <c r="GB18" s="29">
        <v>0.04</v>
      </c>
    </row>
    <row r="19" spans="2:184">
      <c r="B19" s="25">
        <v>17</v>
      </c>
      <c r="C19" s="51" t="s">
        <v>2088</v>
      </c>
      <c r="D19" s="25" t="s">
        <v>2089</v>
      </c>
      <c r="E19" s="25">
        <v>17</v>
      </c>
      <c r="F19" s="25" t="s">
        <v>1931</v>
      </c>
      <c r="N19" s="350"/>
      <c r="S19" s="25" t="s">
        <v>2022</v>
      </c>
      <c r="T19" s="25" t="s">
        <v>1915</v>
      </c>
      <c r="U19" s="25" t="s">
        <v>2023</v>
      </c>
      <c r="V19" s="339">
        <v>68800</v>
      </c>
      <c r="W19" s="326">
        <v>55012.698409999997</v>
      </c>
      <c r="X19" s="29">
        <v>3.8</v>
      </c>
      <c r="AD19" s="350"/>
      <c r="AI19" s="25" t="s">
        <v>2077</v>
      </c>
      <c r="AJ19" s="25" t="s">
        <v>1862</v>
      </c>
      <c r="AK19" s="25" t="s">
        <v>77</v>
      </c>
      <c r="AL19" s="337">
        <v>4200</v>
      </c>
      <c r="AM19" s="340">
        <v>3080</v>
      </c>
      <c r="AN19" s="29">
        <v>0</v>
      </c>
      <c r="AQ19" s="25" t="s">
        <v>1802</v>
      </c>
      <c r="AR19" s="25" t="s">
        <v>2090</v>
      </c>
      <c r="AS19" s="25" t="s">
        <v>1795</v>
      </c>
      <c r="AT19" s="339">
        <v>1160</v>
      </c>
      <c r="AU19" s="339">
        <v>760</v>
      </c>
      <c r="AV19" s="105">
        <v>0.23</v>
      </c>
      <c r="AY19" s="25" t="s">
        <v>2091</v>
      </c>
      <c r="AZ19" s="25" t="s">
        <v>2092</v>
      </c>
      <c r="BA19" s="25" t="s">
        <v>77</v>
      </c>
      <c r="BB19" s="208">
        <v>1230</v>
      </c>
      <c r="BC19" s="208">
        <v>740</v>
      </c>
      <c r="BD19" s="31">
        <v>0.08</v>
      </c>
      <c r="BG19" s="78" t="s">
        <v>1806</v>
      </c>
      <c r="BH19" s="78" t="s">
        <v>2093</v>
      </c>
      <c r="BI19" s="78" t="s">
        <v>1808</v>
      </c>
      <c r="BJ19" s="339">
        <v>5270</v>
      </c>
      <c r="BK19" s="339">
        <v>3430</v>
      </c>
      <c r="BL19" s="25">
        <v>0.09</v>
      </c>
      <c r="CU19" s="25" t="s">
        <v>2011</v>
      </c>
      <c r="CV19" s="25" t="s">
        <v>1934</v>
      </c>
      <c r="CW19" s="25" t="s">
        <v>947</v>
      </c>
      <c r="CX19" s="339">
        <v>79800</v>
      </c>
      <c r="CY19" s="339">
        <v>51870</v>
      </c>
      <c r="CZ19" s="29">
        <v>0.32</v>
      </c>
      <c r="DC19" s="25" t="s">
        <v>1816</v>
      </c>
      <c r="DD19" s="25" t="s">
        <v>2094</v>
      </c>
      <c r="DE19" s="25" t="s">
        <v>947</v>
      </c>
      <c r="DF19" s="348">
        <v>594000</v>
      </c>
      <c r="DG19" s="339">
        <v>386100</v>
      </c>
      <c r="DH19" s="106">
        <v>1.1299999999999999</v>
      </c>
      <c r="DK19" s="25" t="s">
        <v>2070</v>
      </c>
      <c r="DL19" s="83" t="s">
        <v>1867</v>
      </c>
      <c r="DM19" s="25" t="s">
        <v>77</v>
      </c>
      <c r="DN19" s="339">
        <v>139000</v>
      </c>
      <c r="DO19" s="339">
        <v>90350</v>
      </c>
      <c r="DP19" s="29">
        <v>0.39</v>
      </c>
      <c r="DS19" s="25" t="s">
        <v>1819</v>
      </c>
      <c r="DT19" s="25" t="s">
        <v>2095</v>
      </c>
      <c r="DU19" s="25" t="s">
        <v>1821</v>
      </c>
      <c r="DV19" s="326">
        <v>9000</v>
      </c>
      <c r="DW19" s="326">
        <v>4140</v>
      </c>
      <c r="DX19" s="29">
        <v>0.16</v>
      </c>
      <c r="EA19" s="25" t="s">
        <v>2058</v>
      </c>
      <c r="EB19" s="25" t="s">
        <v>2096</v>
      </c>
      <c r="EC19" s="25" t="s">
        <v>947</v>
      </c>
      <c r="ED19" s="326">
        <v>4840</v>
      </c>
      <c r="EE19" s="326">
        <f t="shared" si="5"/>
        <v>3150</v>
      </c>
      <c r="EF19" s="29">
        <v>0.16</v>
      </c>
      <c r="EI19" s="25" t="s">
        <v>2097</v>
      </c>
      <c r="EJ19" s="25" t="s">
        <v>2098</v>
      </c>
      <c r="EK19" s="25" t="s">
        <v>1824</v>
      </c>
      <c r="EL19" s="326">
        <v>21100</v>
      </c>
      <c r="EM19" s="326">
        <f>EL19*0.65</f>
        <v>13715</v>
      </c>
      <c r="EN19" s="29">
        <v>1.08</v>
      </c>
      <c r="FG19" s="25" t="s">
        <v>2084</v>
      </c>
      <c r="FH19" s="25" t="s">
        <v>1841</v>
      </c>
      <c r="FI19" s="25" t="s">
        <v>1833</v>
      </c>
      <c r="FJ19" s="104">
        <v>11040</v>
      </c>
      <c r="FK19" s="104">
        <v>7400</v>
      </c>
      <c r="FL19" s="29">
        <v>0</v>
      </c>
      <c r="FO19" s="25" t="s">
        <v>2099</v>
      </c>
      <c r="FP19" s="25" t="s">
        <v>2100</v>
      </c>
      <c r="FQ19" s="25" t="s">
        <v>2087</v>
      </c>
      <c r="FT19" s="29">
        <v>0</v>
      </c>
      <c r="FW19" s="25" t="s">
        <v>2036</v>
      </c>
      <c r="FX19" s="25" t="s">
        <v>1916</v>
      </c>
      <c r="FY19" s="25" t="s">
        <v>1836</v>
      </c>
      <c r="FZ19" s="326">
        <v>1140</v>
      </c>
      <c r="GA19" s="326">
        <v>940</v>
      </c>
      <c r="GB19" s="29">
        <v>0.04</v>
      </c>
    </row>
    <row r="20" spans="2:184">
      <c r="B20" s="25">
        <v>18</v>
      </c>
      <c r="C20" s="51" t="s">
        <v>2101</v>
      </c>
      <c r="D20" s="25" t="s">
        <v>2102</v>
      </c>
      <c r="E20" s="25">
        <v>18</v>
      </c>
      <c r="F20" s="25" t="s">
        <v>1949</v>
      </c>
      <c r="N20" s="350"/>
      <c r="S20" s="25" t="s">
        <v>2022</v>
      </c>
      <c r="T20" s="25" t="s">
        <v>1933</v>
      </c>
      <c r="U20" s="25" t="s">
        <v>2023</v>
      </c>
      <c r="V20" s="339">
        <v>97770</v>
      </c>
      <c r="W20" s="326">
        <v>78401.723199999993</v>
      </c>
      <c r="X20" s="29">
        <v>4.84</v>
      </c>
      <c r="AD20" s="350"/>
      <c r="AI20" s="25" t="s">
        <v>2077</v>
      </c>
      <c r="AJ20" s="25" t="s">
        <v>1880</v>
      </c>
      <c r="AK20" s="25" t="s">
        <v>77</v>
      </c>
      <c r="AL20" s="337">
        <v>6600</v>
      </c>
      <c r="AM20" s="340">
        <v>4610</v>
      </c>
      <c r="AN20" s="29">
        <v>0</v>
      </c>
      <c r="AQ20" s="25" t="s">
        <v>1802</v>
      </c>
      <c r="AR20" s="25" t="s">
        <v>2103</v>
      </c>
      <c r="AS20" s="25" t="s">
        <v>1795</v>
      </c>
      <c r="AT20" s="339">
        <v>1750</v>
      </c>
      <c r="AU20" s="339">
        <v>1140</v>
      </c>
      <c r="AV20" s="105">
        <v>0.28999999999999998</v>
      </c>
      <c r="AY20" s="25" t="s">
        <v>2091</v>
      </c>
      <c r="AZ20" s="25" t="s">
        <v>2104</v>
      </c>
      <c r="BA20" s="25" t="s">
        <v>77</v>
      </c>
      <c r="BB20" s="207">
        <v>1800</v>
      </c>
      <c r="BC20" s="207">
        <v>1080</v>
      </c>
      <c r="BD20" s="31">
        <v>0.09</v>
      </c>
      <c r="BG20" s="78" t="s">
        <v>1806</v>
      </c>
      <c r="BH20" s="78" t="s">
        <v>2105</v>
      </c>
      <c r="BI20" s="78" t="s">
        <v>1808</v>
      </c>
      <c r="BJ20" s="339">
        <v>7440</v>
      </c>
      <c r="BK20" s="339">
        <v>4840</v>
      </c>
      <c r="BL20" s="25">
        <v>0.12</v>
      </c>
      <c r="CU20" s="25" t="s">
        <v>2011</v>
      </c>
      <c r="CV20" s="25" t="s">
        <v>1952</v>
      </c>
      <c r="CW20" s="25" t="s">
        <v>947</v>
      </c>
      <c r="CX20" s="339">
        <v>125000</v>
      </c>
      <c r="CY20" s="339">
        <v>81250</v>
      </c>
      <c r="CZ20" s="29">
        <v>0.39</v>
      </c>
      <c r="DC20" s="25" t="s">
        <v>1816</v>
      </c>
      <c r="DD20" s="25" t="s">
        <v>2106</v>
      </c>
      <c r="DE20" s="25" t="s">
        <v>947</v>
      </c>
      <c r="DF20" s="348">
        <v>811000</v>
      </c>
      <c r="DG20" s="339">
        <v>527150</v>
      </c>
      <c r="DH20" s="106">
        <v>1.4</v>
      </c>
      <c r="DK20" s="25" t="s">
        <v>2070</v>
      </c>
      <c r="DL20" s="83" t="s">
        <v>1885</v>
      </c>
      <c r="DM20" s="25" t="s">
        <v>77</v>
      </c>
      <c r="DN20" s="339">
        <v>144000</v>
      </c>
      <c r="DO20" s="339">
        <v>93600</v>
      </c>
      <c r="DP20" s="29">
        <v>0.48</v>
      </c>
      <c r="DS20" s="25" t="s">
        <v>1939</v>
      </c>
      <c r="DT20" s="25" t="s">
        <v>2107</v>
      </c>
      <c r="DU20" s="25" t="s">
        <v>1821</v>
      </c>
      <c r="DV20" s="326">
        <v>18000</v>
      </c>
      <c r="DW20" s="326">
        <v>4680</v>
      </c>
      <c r="DX20" s="29">
        <v>0.18</v>
      </c>
      <c r="EA20" s="25" t="s">
        <v>2058</v>
      </c>
      <c r="EB20" s="25" t="s">
        <v>2108</v>
      </c>
      <c r="EC20" s="25" t="s">
        <v>947</v>
      </c>
      <c r="ED20" s="326">
        <v>5410</v>
      </c>
      <c r="EE20" s="326">
        <f t="shared" si="5"/>
        <v>3520</v>
      </c>
      <c r="EF20" s="29">
        <v>0.18</v>
      </c>
      <c r="EI20" s="25" t="s">
        <v>2097</v>
      </c>
      <c r="EJ20" s="25" t="s">
        <v>2109</v>
      </c>
      <c r="EK20" s="25" t="s">
        <v>1824</v>
      </c>
      <c r="EL20" s="326">
        <v>23800</v>
      </c>
      <c r="EM20" s="326">
        <f t="shared" ref="EM20:EM21" si="6">EL20*0.65</f>
        <v>15470</v>
      </c>
      <c r="EN20" s="29">
        <v>1.08</v>
      </c>
      <c r="FG20" s="25" t="s">
        <v>2084</v>
      </c>
      <c r="FH20" s="25" t="s">
        <v>1862</v>
      </c>
      <c r="FI20" s="25" t="s">
        <v>1833</v>
      </c>
      <c r="FJ20" s="104">
        <v>11280</v>
      </c>
      <c r="FK20" s="104">
        <v>7560</v>
      </c>
      <c r="FL20" s="29">
        <v>0</v>
      </c>
      <c r="FO20" s="25" t="s">
        <v>2110</v>
      </c>
      <c r="FP20" s="25" t="s">
        <v>2100</v>
      </c>
      <c r="FQ20" s="25" t="s">
        <v>2087</v>
      </c>
      <c r="FT20" s="29">
        <v>0</v>
      </c>
      <c r="FW20" s="25" t="s">
        <v>2036</v>
      </c>
      <c r="FX20" s="25" t="s">
        <v>1934</v>
      </c>
      <c r="FY20" s="25" t="s">
        <v>1836</v>
      </c>
      <c r="FZ20" s="326">
        <v>1240</v>
      </c>
      <c r="GA20" s="326">
        <v>1040</v>
      </c>
      <c r="GB20" s="29">
        <v>0.05</v>
      </c>
    </row>
    <row r="21" spans="2:184">
      <c r="B21" s="25">
        <v>19</v>
      </c>
      <c r="C21" s="51" t="s">
        <v>2111</v>
      </c>
      <c r="D21" s="25" t="s">
        <v>2112</v>
      </c>
      <c r="E21" s="25">
        <v>19</v>
      </c>
      <c r="F21" s="25" t="s">
        <v>1968</v>
      </c>
      <c r="N21" s="350"/>
      <c r="S21" s="25" t="s">
        <v>2022</v>
      </c>
      <c r="T21" s="25" t="s">
        <v>1951</v>
      </c>
      <c r="U21" s="25" t="s">
        <v>2023</v>
      </c>
      <c r="V21" s="339">
        <v>148770</v>
      </c>
      <c r="W21" s="326">
        <v>119107.739</v>
      </c>
      <c r="X21" s="29">
        <v>6.93</v>
      </c>
      <c r="AD21" s="350"/>
      <c r="AI21" s="25" t="s">
        <v>2077</v>
      </c>
      <c r="AJ21" s="25" t="s">
        <v>1899</v>
      </c>
      <c r="AK21" s="25" t="s">
        <v>77</v>
      </c>
      <c r="AL21" s="337">
        <v>7660</v>
      </c>
      <c r="AM21" s="340">
        <v>5370</v>
      </c>
      <c r="AN21" s="29">
        <v>0</v>
      </c>
      <c r="AQ21" s="25" t="s">
        <v>1802</v>
      </c>
      <c r="AR21" s="25" t="s">
        <v>2113</v>
      </c>
      <c r="AS21" s="25" t="s">
        <v>1795</v>
      </c>
      <c r="AT21" s="339">
        <v>2830</v>
      </c>
      <c r="AU21" s="339">
        <v>1840</v>
      </c>
      <c r="AV21" s="105">
        <v>0.36</v>
      </c>
      <c r="AY21" s="25" t="s">
        <v>2091</v>
      </c>
      <c r="AZ21" s="25" t="s">
        <v>2114</v>
      </c>
      <c r="BA21" s="25" t="s">
        <v>77</v>
      </c>
      <c r="BB21" s="207">
        <v>1910</v>
      </c>
      <c r="BC21" s="207">
        <v>1150</v>
      </c>
      <c r="BD21" s="31">
        <v>0.12</v>
      </c>
      <c r="BG21" s="78" t="s">
        <v>1806</v>
      </c>
      <c r="BH21" s="78" t="s">
        <v>2115</v>
      </c>
      <c r="BI21" s="78" t="s">
        <v>1808</v>
      </c>
      <c r="BJ21" s="339">
        <v>10200</v>
      </c>
      <c r="BK21" s="339">
        <v>6630</v>
      </c>
      <c r="BL21" s="25">
        <v>0.14000000000000001</v>
      </c>
      <c r="CU21" s="78" t="s">
        <v>334</v>
      </c>
      <c r="CX21" s="107"/>
      <c r="CY21" s="107"/>
      <c r="DC21" s="78" t="s">
        <v>334</v>
      </c>
      <c r="DF21" s="107"/>
      <c r="DG21" s="107"/>
      <c r="DH21" s="103"/>
      <c r="DK21" s="25" t="s">
        <v>2070</v>
      </c>
      <c r="DL21" s="83" t="s">
        <v>1904</v>
      </c>
      <c r="DM21" s="25" t="s">
        <v>77</v>
      </c>
      <c r="DN21" s="339">
        <v>219000</v>
      </c>
      <c r="DO21" s="339">
        <v>142350</v>
      </c>
      <c r="DP21" s="29">
        <v>0.56999999999999995</v>
      </c>
      <c r="DS21" s="25" t="s">
        <v>1939</v>
      </c>
      <c r="DT21" s="25" t="s">
        <v>2116</v>
      </c>
      <c r="DU21" s="25" t="s">
        <v>1821</v>
      </c>
      <c r="DV21" s="326">
        <v>22700</v>
      </c>
      <c r="DW21" s="326">
        <v>5900</v>
      </c>
      <c r="DX21" s="29">
        <v>0.22</v>
      </c>
      <c r="EA21" s="25" t="s">
        <v>2058</v>
      </c>
      <c r="EB21" s="25" t="s">
        <v>2117</v>
      </c>
      <c r="EC21" s="25" t="s">
        <v>947</v>
      </c>
      <c r="ED21" s="326">
        <v>7330</v>
      </c>
      <c r="EE21" s="326">
        <f t="shared" si="5"/>
        <v>4760</v>
      </c>
      <c r="EF21" s="29">
        <v>0.22</v>
      </c>
      <c r="EI21" s="25" t="s">
        <v>2097</v>
      </c>
      <c r="EJ21" s="25" t="s">
        <v>2118</v>
      </c>
      <c r="EK21" s="25" t="s">
        <v>1824</v>
      </c>
      <c r="EL21" s="326">
        <v>33400</v>
      </c>
      <c r="EM21" s="326">
        <f t="shared" si="6"/>
        <v>21710</v>
      </c>
      <c r="EN21" s="29">
        <v>1.08</v>
      </c>
      <c r="FG21" s="25" t="s">
        <v>2084</v>
      </c>
      <c r="FH21" s="25" t="s">
        <v>1880</v>
      </c>
      <c r="FI21" s="25" t="s">
        <v>1833</v>
      </c>
      <c r="FJ21" s="104">
        <v>11760</v>
      </c>
      <c r="FK21" s="104">
        <v>7890</v>
      </c>
      <c r="FL21" s="29">
        <v>0</v>
      </c>
      <c r="FW21" s="25" t="s">
        <v>2036</v>
      </c>
      <c r="FX21" s="25" t="s">
        <v>1952</v>
      </c>
      <c r="FY21" s="25" t="s">
        <v>1836</v>
      </c>
      <c r="FZ21" s="326">
        <v>1460</v>
      </c>
      <c r="GA21" s="326">
        <v>1220</v>
      </c>
      <c r="GB21" s="29">
        <v>0.05</v>
      </c>
    </row>
    <row r="22" spans="2:184">
      <c r="B22" s="25">
        <v>20</v>
      </c>
      <c r="C22" s="51" t="s">
        <v>2119</v>
      </c>
      <c r="D22" s="25" t="s">
        <v>2120</v>
      </c>
      <c r="E22" s="25">
        <v>20</v>
      </c>
      <c r="F22" s="25" t="s">
        <v>1895</v>
      </c>
      <c r="N22" s="350"/>
      <c r="S22" s="25" t="s">
        <v>2022</v>
      </c>
      <c r="T22" s="25" t="s">
        <v>1971</v>
      </c>
      <c r="U22" s="25" t="s">
        <v>2023</v>
      </c>
      <c r="V22" s="339">
        <v>208870</v>
      </c>
      <c r="W22" s="326">
        <v>167051.15410000001</v>
      </c>
      <c r="X22" s="29">
        <v>9.85</v>
      </c>
      <c r="AI22" s="25" t="s">
        <v>2077</v>
      </c>
      <c r="AJ22" s="25" t="s">
        <v>1916</v>
      </c>
      <c r="AK22" s="25" t="s">
        <v>77</v>
      </c>
      <c r="AL22" s="337">
        <v>11700</v>
      </c>
      <c r="AM22" s="340">
        <v>8260</v>
      </c>
      <c r="AN22" s="29">
        <v>0</v>
      </c>
      <c r="AQ22" s="25" t="s">
        <v>1802</v>
      </c>
      <c r="AR22" s="25" t="s">
        <v>2121</v>
      </c>
      <c r="AS22" s="25" t="s">
        <v>1795</v>
      </c>
      <c r="AT22" s="339">
        <v>4060</v>
      </c>
      <c r="AU22" s="339">
        <v>2640</v>
      </c>
      <c r="AV22" s="105">
        <v>0.43</v>
      </c>
      <c r="AY22" s="25" t="s">
        <v>2091</v>
      </c>
      <c r="AZ22" s="25" t="s">
        <v>2122</v>
      </c>
      <c r="BA22" s="25" t="s">
        <v>77</v>
      </c>
      <c r="BB22" s="207">
        <v>1950</v>
      </c>
      <c r="BC22" s="207">
        <v>1170</v>
      </c>
      <c r="BD22" s="31">
        <v>0.14000000000000001</v>
      </c>
      <c r="BG22" s="78" t="s">
        <v>1806</v>
      </c>
      <c r="BH22" s="78" t="s">
        <v>2123</v>
      </c>
      <c r="BI22" s="78" t="s">
        <v>1808</v>
      </c>
      <c r="BJ22" s="339">
        <v>12800</v>
      </c>
      <c r="BK22" s="339">
        <v>8320</v>
      </c>
      <c r="BL22" s="25">
        <v>0.16</v>
      </c>
      <c r="CU22" s="83" t="s">
        <v>2124</v>
      </c>
      <c r="CV22" s="25" t="s">
        <v>1799</v>
      </c>
      <c r="CW22" s="25" t="s">
        <v>947</v>
      </c>
      <c r="CX22" s="339">
        <v>3190</v>
      </c>
      <c r="CY22" s="339">
        <v>2070</v>
      </c>
      <c r="CZ22" s="29">
        <v>0.08</v>
      </c>
      <c r="DC22" s="83" t="s">
        <v>2125</v>
      </c>
      <c r="DD22" s="83" t="s">
        <v>2126</v>
      </c>
      <c r="DE22" s="83" t="s">
        <v>1808</v>
      </c>
      <c r="DF22" s="339">
        <v>190000</v>
      </c>
      <c r="DG22" s="339">
        <v>123500</v>
      </c>
      <c r="DH22" s="106">
        <v>0.09</v>
      </c>
      <c r="DK22" s="25" t="s">
        <v>2070</v>
      </c>
      <c r="DL22" s="83" t="s">
        <v>1920</v>
      </c>
      <c r="DM22" s="25" t="s">
        <v>77</v>
      </c>
      <c r="DN22" s="339">
        <v>228000</v>
      </c>
      <c r="DO22" s="339">
        <v>148200</v>
      </c>
      <c r="DP22" s="29">
        <v>0.65</v>
      </c>
      <c r="DS22" s="25" t="s">
        <v>1939</v>
      </c>
      <c r="DT22" s="25" t="s">
        <v>2127</v>
      </c>
      <c r="DU22" s="25" t="s">
        <v>1821</v>
      </c>
      <c r="DV22" s="326">
        <v>26000</v>
      </c>
      <c r="DW22" s="326">
        <v>6760</v>
      </c>
      <c r="DX22" s="29">
        <v>0.37</v>
      </c>
      <c r="EA22" s="25" t="s">
        <v>2058</v>
      </c>
      <c r="EB22" s="25" t="s">
        <v>2128</v>
      </c>
      <c r="EC22" s="25" t="s">
        <v>947</v>
      </c>
      <c r="ED22" s="326">
        <v>15550</v>
      </c>
      <c r="EE22" s="326">
        <f t="shared" si="5"/>
        <v>10110</v>
      </c>
      <c r="EF22" s="29">
        <v>0.37</v>
      </c>
      <c r="EI22" s="25" t="s">
        <v>2129</v>
      </c>
      <c r="EJ22" s="25" t="s">
        <v>2130</v>
      </c>
      <c r="EK22" s="25" t="s">
        <v>1824</v>
      </c>
      <c r="EL22" s="326">
        <v>89100</v>
      </c>
      <c r="EM22" s="326">
        <f>EL22*0.65</f>
        <v>57915</v>
      </c>
      <c r="EN22" s="29">
        <v>1.46</v>
      </c>
      <c r="FG22" s="25" t="s">
        <v>2084</v>
      </c>
      <c r="FH22" s="25" t="s">
        <v>1899</v>
      </c>
      <c r="FI22" s="25" t="s">
        <v>1833</v>
      </c>
      <c r="FJ22" s="104">
        <v>12240</v>
      </c>
      <c r="FK22" s="104">
        <v>8200</v>
      </c>
      <c r="FL22" s="29">
        <v>0</v>
      </c>
      <c r="FW22" s="78" t="s">
        <v>334</v>
      </c>
    </row>
    <row r="23" spans="2:184">
      <c r="B23" s="25">
        <v>21</v>
      </c>
      <c r="C23" s="51" t="s">
        <v>2131</v>
      </c>
      <c r="D23" s="25" t="s">
        <v>2132</v>
      </c>
      <c r="E23" s="25">
        <v>21</v>
      </c>
      <c r="F23" s="25" t="s">
        <v>2133</v>
      </c>
      <c r="N23" s="350"/>
      <c r="S23" s="25" t="s">
        <v>2022</v>
      </c>
      <c r="T23" s="25" t="s">
        <v>1988</v>
      </c>
      <c r="U23" s="25" t="s">
        <v>2023</v>
      </c>
      <c r="V23" s="339">
        <v>261640</v>
      </c>
      <c r="W23" s="326">
        <v>209499.89230000001</v>
      </c>
      <c r="X23" s="29">
        <v>13.04</v>
      </c>
      <c r="AI23" s="25" t="s">
        <v>2077</v>
      </c>
      <c r="AJ23" s="25" t="s">
        <v>1934</v>
      </c>
      <c r="AK23" s="25" t="s">
        <v>77</v>
      </c>
      <c r="AL23" s="337">
        <v>26770</v>
      </c>
      <c r="AM23" s="340">
        <v>15090</v>
      </c>
      <c r="AN23" s="29">
        <v>0</v>
      </c>
      <c r="AQ23" s="25" t="s">
        <v>1802</v>
      </c>
      <c r="AR23" s="25" t="s">
        <v>2134</v>
      </c>
      <c r="AS23" s="25" t="s">
        <v>1795</v>
      </c>
      <c r="AT23" s="339">
        <v>6710</v>
      </c>
      <c r="AU23" s="339">
        <v>4360</v>
      </c>
      <c r="AV23" s="69">
        <v>0.56000000000000005</v>
      </c>
      <c r="AY23" s="78" t="s">
        <v>334</v>
      </c>
      <c r="BB23" s="43"/>
      <c r="BC23" s="43"/>
      <c r="BD23" s="31"/>
      <c r="BG23" s="78" t="s">
        <v>1806</v>
      </c>
      <c r="BH23" s="78" t="s">
        <v>2135</v>
      </c>
      <c r="BI23" s="78" t="s">
        <v>1808</v>
      </c>
      <c r="BJ23" s="339">
        <v>19400</v>
      </c>
      <c r="BK23" s="339">
        <v>12610</v>
      </c>
      <c r="BL23" s="25">
        <v>0.18</v>
      </c>
      <c r="CU23" s="83" t="s">
        <v>2124</v>
      </c>
      <c r="CV23" s="25" t="s">
        <v>1841</v>
      </c>
      <c r="CW23" s="25" t="s">
        <v>947</v>
      </c>
      <c r="CX23" s="339">
        <v>3630</v>
      </c>
      <c r="CY23" s="339">
        <v>2360</v>
      </c>
      <c r="CZ23" s="29">
        <v>0.09</v>
      </c>
      <c r="DC23" s="83" t="s">
        <v>2125</v>
      </c>
      <c r="DD23" s="83" t="s">
        <v>2136</v>
      </c>
      <c r="DE23" s="78" t="s">
        <v>1808</v>
      </c>
      <c r="DF23" s="339">
        <v>191000</v>
      </c>
      <c r="DG23" s="339">
        <v>124150</v>
      </c>
      <c r="DH23" s="103">
        <v>0.12</v>
      </c>
      <c r="DK23" s="25" t="s">
        <v>2070</v>
      </c>
      <c r="DL23" s="83" t="s">
        <v>1938</v>
      </c>
      <c r="DM23" s="25" t="s">
        <v>77</v>
      </c>
      <c r="DN23" s="339">
        <v>283000</v>
      </c>
      <c r="DO23" s="339">
        <v>183950</v>
      </c>
      <c r="DP23" s="29">
        <v>0.95</v>
      </c>
      <c r="DS23" s="25" t="s">
        <v>1939</v>
      </c>
      <c r="DT23" s="25" t="s">
        <v>2137</v>
      </c>
      <c r="DU23" s="25" t="s">
        <v>1821</v>
      </c>
      <c r="DV23" s="326">
        <v>29600</v>
      </c>
      <c r="DW23" s="326">
        <v>7700</v>
      </c>
      <c r="DX23" s="29">
        <v>0.44</v>
      </c>
      <c r="EA23" s="25" t="s">
        <v>2058</v>
      </c>
      <c r="EB23" s="25" t="s">
        <v>2138</v>
      </c>
      <c r="EC23" s="25" t="s">
        <v>947</v>
      </c>
      <c r="ED23" s="326">
        <v>19360</v>
      </c>
      <c r="EE23" s="326">
        <f t="shared" si="5"/>
        <v>12580</v>
      </c>
      <c r="EF23" s="29">
        <v>0.44</v>
      </c>
      <c r="EI23" s="25" t="s">
        <v>2129</v>
      </c>
      <c r="EJ23" s="25" t="s">
        <v>2139</v>
      </c>
      <c r="EK23" s="25" t="s">
        <v>1824</v>
      </c>
      <c r="EL23" s="326">
        <v>103000</v>
      </c>
      <c r="EM23" s="326">
        <f t="shared" ref="EM23:EM24" si="7">EL23*0.65</f>
        <v>66950</v>
      </c>
      <c r="EN23" s="29">
        <v>1.46</v>
      </c>
      <c r="FG23" s="25" t="s">
        <v>2084</v>
      </c>
      <c r="FH23" s="25" t="s">
        <v>1916</v>
      </c>
      <c r="FI23" s="25" t="s">
        <v>1833</v>
      </c>
      <c r="FJ23" s="104">
        <v>13560</v>
      </c>
      <c r="FK23" s="104">
        <v>9090</v>
      </c>
      <c r="FL23" s="29">
        <v>0</v>
      </c>
      <c r="FW23" s="25" t="s">
        <v>2085</v>
      </c>
      <c r="FX23" s="25" t="s">
        <v>2086</v>
      </c>
      <c r="FY23" s="25" t="s">
        <v>2087</v>
      </c>
      <c r="FZ23" s="28">
        <v>46500</v>
      </c>
      <c r="GA23" s="28">
        <v>37200</v>
      </c>
      <c r="GB23" s="29">
        <v>0</v>
      </c>
    </row>
    <row r="24" spans="2:184">
      <c r="B24" s="25">
        <v>22</v>
      </c>
      <c r="C24" s="51" t="s">
        <v>2140</v>
      </c>
      <c r="D24" s="25" t="s">
        <v>2141</v>
      </c>
      <c r="E24" s="25">
        <v>22</v>
      </c>
      <c r="F24" s="25" t="s">
        <v>2142</v>
      </c>
      <c r="AI24" s="25" t="s">
        <v>2143</v>
      </c>
      <c r="AJ24" s="25" t="s">
        <v>1799</v>
      </c>
      <c r="AK24" s="25" t="s">
        <v>77</v>
      </c>
      <c r="AL24" s="337">
        <v>4170</v>
      </c>
      <c r="AM24" s="340">
        <v>3060</v>
      </c>
      <c r="AN24" s="29">
        <v>0</v>
      </c>
      <c r="AQ24" s="25" t="s">
        <v>1802</v>
      </c>
      <c r="AR24" s="25" t="s">
        <v>2144</v>
      </c>
      <c r="AS24" s="25" t="s">
        <v>1795</v>
      </c>
      <c r="AT24" s="339">
        <v>10050</v>
      </c>
      <c r="AU24" s="339">
        <v>6540</v>
      </c>
      <c r="AV24" s="69">
        <v>0.69</v>
      </c>
      <c r="AY24" s="25" t="s">
        <v>2145</v>
      </c>
      <c r="AZ24" s="25" t="s">
        <v>2092</v>
      </c>
      <c r="BA24" s="25" t="s">
        <v>77</v>
      </c>
      <c r="BB24" s="208">
        <v>1900</v>
      </c>
      <c r="BC24" s="208">
        <v>1140</v>
      </c>
      <c r="BD24" s="31">
        <v>0.08</v>
      </c>
      <c r="BG24" s="78" t="s">
        <v>1806</v>
      </c>
      <c r="BH24" s="78" t="s">
        <v>2146</v>
      </c>
      <c r="BI24" s="78" t="s">
        <v>1808</v>
      </c>
      <c r="BJ24" s="339">
        <v>40300</v>
      </c>
      <c r="BK24" s="339">
        <v>26200</v>
      </c>
      <c r="BL24" s="25">
        <v>0.32</v>
      </c>
      <c r="CU24" s="78" t="s">
        <v>334</v>
      </c>
      <c r="DC24" s="83" t="s">
        <v>2125</v>
      </c>
      <c r="DD24" s="83" t="s">
        <v>2147</v>
      </c>
      <c r="DE24" s="78" t="s">
        <v>1808</v>
      </c>
      <c r="DF24" s="339">
        <v>284000</v>
      </c>
      <c r="DG24" s="339">
        <v>184600</v>
      </c>
      <c r="DH24" s="103">
        <v>0.14000000000000001</v>
      </c>
      <c r="DK24" s="78" t="s">
        <v>334</v>
      </c>
      <c r="DN24" s="107"/>
      <c r="DO24" s="107"/>
      <c r="DS24" s="25" t="s">
        <v>1939</v>
      </c>
      <c r="DT24" s="25" t="s">
        <v>2148</v>
      </c>
      <c r="DU24" s="25" t="s">
        <v>1821</v>
      </c>
      <c r="DV24" s="326">
        <v>35200</v>
      </c>
      <c r="DW24" s="326">
        <v>9150</v>
      </c>
      <c r="DX24" s="29">
        <v>0.54</v>
      </c>
      <c r="EA24" s="25" t="s">
        <v>2058</v>
      </c>
      <c r="EB24" s="25" t="s">
        <v>2149</v>
      </c>
      <c r="EC24" s="25" t="s">
        <v>947</v>
      </c>
      <c r="ED24" s="326">
        <v>3000</v>
      </c>
      <c r="EE24" s="326">
        <f t="shared" si="5"/>
        <v>1950</v>
      </c>
      <c r="EF24" s="29">
        <v>0.12</v>
      </c>
      <c r="EI24" s="25" t="s">
        <v>2129</v>
      </c>
      <c r="EJ24" s="25" t="s">
        <v>2150</v>
      </c>
      <c r="EK24" s="25" t="s">
        <v>1824</v>
      </c>
      <c r="EL24" s="326">
        <v>103000</v>
      </c>
      <c r="EM24" s="326">
        <f t="shared" si="7"/>
        <v>66950</v>
      </c>
      <c r="EN24" s="29">
        <v>1.87</v>
      </c>
      <c r="FG24" s="25" t="s">
        <v>2084</v>
      </c>
      <c r="FH24" s="25" t="s">
        <v>1934</v>
      </c>
      <c r="FI24" s="25" t="s">
        <v>1833</v>
      </c>
      <c r="FJ24" s="104">
        <v>15120</v>
      </c>
      <c r="FK24" s="104">
        <v>10130</v>
      </c>
      <c r="FL24" s="29">
        <v>0</v>
      </c>
      <c r="FW24" s="25" t="s">
        <v>2099</v>
      </c>
      <c r="FX24" s="25" t="s">
        <v>2100</v>
      </c>
      <c r="FY24" s="25" t="s">
        <v>2087</v>
      </c>
      <c r="FZ24" s="28">
        <v>50000</v>
      </c>
      <c r="GA24" s="28">
        <v>40000</v>
      </c>
      <c r="GB24" s="29">
        <v>0</v>
      </c>
    </row>
    <row r="25" spans="2:184">
      <c r="E25" s="25">
        <v>23</v>
      </c>
      <c r="F25" s="25" t="s">
        <v>2151</v>
      </c>
      <c r="AI25" s="25" t="s">
        <v>2143</v>
      </c>
      <c r="AJ25" s="25" t="s">
        <v>1841</v>
      </c>
      <c r="AK25" s="25" t="s">
        <v>77</v>
      </c>
      <c r="AL25" s="337">
        <v>5450</v>
      </c>
      <c r="AM25" s="340">
        <v>4050</v>
      </c>
      <c r="AN25" s="29">
        <v>0</v>
      </c>
      <c r="AQ25" s="25" t="s">
        <v>1802</v>
      </c>
      <c r="AR25" s="25" t="s">
        <v>2152</v>
      </c>
      <c r="AS25" s="25" t="s">
        <v>1795</v>
      </c>
      <c r="AT25" s="339">
        <v>14140</v>
      </c>
      <c r="AU25" s="339">
        <v>9190</v>
      </c>
      <c r="AV25" s="69">
        <v>0.83</v>
      </c>
      <c r="AY25" s="25" t="s">
        <v>2145</v>
      </c>
      <c r="AZ25" s="25" t="s">
        <v>2104</v>
      </c>
      <c r="BA25" s="25" t="s">
        <v>77</v>
      </c>
      <c r="BB25" s="207">
        <v>4150</v>
      </c>
      <c r="BC25" s="207">
        <v>2490</v>
      </c>
      <c r="BD25" s="31">
        <v>0.09</v>
      </c>
      <c r="BG25" s="78" t="s">
        <v>1806</v>
      </c>
      <c r="BH25" s="78" t="s">
        <v>2153</v>
      </c>
      <c r="BI25" s="78" t="s">
        <v>1808</v>
      </c>
      <c r="BJ25" s="339">
        <v>55000</v>
      </c>
      <c r="BK25" s="339">
        <v>35750</v>
      </c>
      <c r="BL25" s="25">
        <v>0.39</v>
      </c>
      <c r="CU25" s="83" t="s">
        <v>2154</v>
      </c>
      <c r="CV25" s="83" t="s">
        <v>2155</v>
      </c>
      <c r="CW25" s="33" t="s">
        <v>77</v>
      </c>
      <c r="CX25" s="337">
        <v>3130</v>
      </c>
      <c r="CY25" s="339">
        <v>2030</v>
      </c>
      <c r="CZ25" s="110">
        <v>0.08</v>
      </c>
      <c r="DC25" s="83" t="s">
        <v>2125</v>
      </c>
      <c r="DD25" s="83" t="s">
        <v>2156</v>
      </c>
      <c r="DE25" s="78" t="s">
        <v>1808</v>
      </c>
      <c r="DF25" s="339">
        <v>311000</v>
      </c>
      <c r="DG25" s="339">
        <v>202150</v>
      </c>
      <c r="DH25" s="106">
        <v>0.16</v>
      </c>
      <c r="DK25" s="67" t="s">
        <v>2157</v>
      </c>
      <c r="DL25" s="25" t="s">
        <v>1897</v>
      </c>
      <c r="DM25" s="25" t="s">
        <v>1268</v>
      </c>
      <c r="DN25" s="337">
        <v>298800</v>
      </c>
      <c r="DO25" s="337">
        <v>224100</v>
      </c>
      <c r="DP25" s="29">
        <v>0.83</v>
      </c>
      <c r="DS25" s="25" t="s">
        <v>1939</v>
      </c>
      <c r="DT25" s="25" t="s">
        <v>2158</v>
      </c>
      <c r="DU25" s="25" t="s">
        <v>1821</v>
      </c>
      <c r="DV25" s="326">
        <v>50500</v>
      </c>
      <c r="DW25" s="326">
        <v>13130</v>
      </c>
      <c r="DX25" s="29">
        <v>0.56999999999999995</v>
      </c>
      <c r="EA25" s="25" t="s">
        <v>2058</v>
      </c>
      <c r="EB25" s="25" t="s">
        <v>2159</v>
      </c>
      <c r="EC25" s="25" t="s">
        <v>947</v>
      </c>
      <c r="ED25" s="326">
        <v>3490</v>
      </c>
      <c r="EE25" s="326">
        <f t="shared" si="5"/>
        <v>2270</v>
      </c>
      <c r="EF25" s="29">
        <v>0.12</v>
      </c>
      <c r="EI25" s="25" t="s">
        <v>2129</v>
      </c>
      <c r="EJ25" s="25" t="s">
        <v>2160</v>
      </c>
      <c r="EK25" s="25" t="s">
        <v>1824</v>
      </c>
      <c r="EL25" s="326">
        <v>137000</v>
      </c>
      <c r="EM25" s="326">
        <f t="shared" ref="EM25:EM26" si="8">EL25*0.65</f>
        <v>89050</v>
      </c>
      <c r="EN25" s="29">
        <v>1.87</v>
      </c>
      <c r="FG25" s="25" t="s">
        <v>2084</v>
      </c>
      <c r="FH25" s="25" t="s">
        <v>1952</v>
      </c>
      <c r="FI25" s="25" t="s">
        <v>1833</v>
      </c>
      <c r="FJ25" s="104">
        <v>16440</v>
      </c>
      <c r="FK25" s="104">
        <v>11020</v>
      </c>
      <c r="FL25" s="29">
        <v>0</v>
      </c>
      <c r="FW25" s="25" t="s">
        <v>2110</v>
      </c>
      <c r="FX25" s="25" t="s">
        <v>2100</v>
      </c>
      <c r="FY25" s="25" t="s">
        <v>2087</v>
      </c>
      <c r="FZ25" s="28">
        <v>50000</v>
      </c>
      <c r="GA25" s="28">
        <v>40000</v>
      </c>
      <c r="GB25" s="29">
        <v>0</v>
      </c>
    </row>
    <row r="26" spans="2:184">
      <c r="E26" s="25">
        <v>24</v>
      </c>
      <c r="F26" s="25" t="s">
        <v>2161</v>
      </c>
      <c r="AI26" s="25" t="s">
        <v>2143</v>
      </c>
      <c r="AJ26" s="25" t="s">
        <v>1862</v>
      </c>
      <c r="AK26" s="25" t="s">
        <v>77</v>
      </c>
      <c r="AL26" s="337">
        <v>6960</v>
      </c>
      <c r="AM26" s="340">
        <v>5100</v>
      </c>
      <c r="AN26" s="29">
        <v>0</v>
      </c>
      <c r="AQ26" s="25" t="s">
        <v>1802</v>
      </c>
      <c r="AR26" s="25" t="s">
        <v>2162</v>
      </c>
      <c r="AS26" s="25" t="s">
        <v>1795</v>
      </c>
      <c r="AT26" s="339">
        <v>19070</v>
      </c>
      <c r="AU26" s="339">
        <v>12390</v>
      </c>
      <c r="AV26" s="69">
        <v>0.96</v>
      </c>
      <c r="AY26" s="25" t="s">
        <v>2145</v>
      </c>
      <c r="AZ26" s="25" t="s">
        <v>2114</v>
      </c>
      <c r="BA26" s="25" t="s">
        <v>77</v>
      </c>
      <c r="BB26" s="207">
        <v>4300</v>
      </c>
      <c r="BC26" s="207">
        <v>2580</v>
      </c>
      <c r="BD26" s="31">
        <v>0.12</v>
      </c>
      <c r="CU26" s="83" t="s">
        <v>2154</v>
      </c>
      <c r="CV26" s="83" t="s">
        <v>2163</v>
      </c>
      <c r="CW26" s="33" t="s">
        <v>77</v>
      </c>
      <c r="CX26" s="337">
        <v>3660</v>
      </c>
      <c r="CY26" s="339">
        <v>2380</v>
      </c>
      <c r="CZ26" s="110">
        <v>0.09</v>
      </c>
      <c r="DC26" s="83" t="s">
        <v>2125</v>
      </c>
      <c r="DD26" s="83" t="s">
        <v>1956</v>
      </c>
      <c r="DE26" s="78" t="s">
        <v>1808</v>
      </c>
      <c r="DF26" s="339">
        <v>359000</v>
      </c>
      <c r="DG26" s="339">
        <v>233350</v>
      </c>
      <c r="DH26" s="103">
        <v>0.18</v>
      </c>
      <c r="DK26" s="67" t="s">
        <v>2164</v>
      </c>
      <c r="DL26" s="25" t="s">
        <v>1914</v>
      </c>
      <c r="DM26" s="25" t="s">
        <v>1268</v>
      </c>
      <c r="DN26" s="337">
        <v>307200</v>
      </c>
      <c r="DO26" s="337">
        <v>230400</v>
      </c>
      <c r="DP26" s="29">
        <v>0.95</v>
      </c>
      <c r="DS26" s="25" t="s">
        <v>1939</v>
      </c>
      <c r="DT26" s="25" t="s">
        <v>2165</v>
      </c>
      <c r="DU26" s="25" t="s">
        <v>1821</v>
      </c>
      <c r="DV26" s="326">
        <v>62200</v>
      </c>
      <c r="DW26" s="326">
        <v>16170</v>
      </c>
      <c r="DX26" s="29">
        <v>0.65</v>
      </c>
      <c r="EA26" s="25" t="s">
        <v>2058</v>
      </c>
      <c r="EB26" s="25" t="s">
        <v>2166</v>
      </c>
      <c r="EC26" s="25" t="s">
        <v>947</v>
      </c>
      <c r="ED26" s="326">
        <v>4950</v>
      </c>
      <c r="EE26" s="326">
        <f t="shared" si="5"/>
        <v>3220</v>
      </c>
      <c r="EF26" s="29">
        <v>0.14000000000000001</v>
      </c>
      <c r="EI26" s="25" t="s">
        <v>2129</v>
      </c>
      <c r="EJ26" s="25" t="s">
        <v>2167</v>
      </c>
      <c r="EK26" s="25" t="s">
        <v>1824</v>
      </c>
      <c r="EL26" s="326">
        <v>137000</v>
      </c>
      <c r="EM26" s="326">
        <f t="shared" si="8"/>
        <v>89050</v>
      </c>
      <c r="EN26" s="29">
        <v>2.21</v>
      </c>
      <c r="FG26" s="25" t="s">
        <v>2084</v>
      </c>
      <c r="FH26" s="25" t="s">
        <v>1970</v>
      </c>
      <c r="FI26" s="25" t="s">
        <v>1833</v>
      </c>
      <c r="FJ26" s="104">
        <v>20160</v>
      </c>
      <c r="FK26" s="104">
        <v>13520</v>
      </c>
      <c r="FL26" s="29">
        <v>0</v>
      </c>
    </row>
    <row r="27" spans="2:184">
      <c r="E27" s="25">
        <v>25</v>
      </c>
      <c r="F27" s="25" t="s">
        <v>2168</v>
      </c>
      <c r="AI27" s="25" t="s">
        <v>2143</v>
      </c>
      <c r="AJ27" s="25" t="s">
        <v>1880</v>
      </c>
      <c r="AK27" s="25" t="s">
        <v>77</v>
      </c>
      <c r="AL27" s="337">
        <v>10010</v>
      </c>
      <c r="AM27" s="340">
        <v>6990</v>
      </c>
      <c r="AN27" s="29">
        <v>0</v>
      </c>
      <c r="AQ27" s="25" t="s">
        <v>1802</v>
      </c>
      <c r="AR27" s="25" t="s">
        <v>2169</v>
      </c>
      <c r="AS27" s="25" t="s">
        <v>1795</v>
      </c>
      <c r="AT27" s="339">
        <v>25330</v>
      </c>
      <c r="AU27" s="339">
        <v>16470</v>
      </c>
      <c r="AV27" s="69">
        <v>1.1000000000000001</v>
      </c>
      <c r="AY27" s="25" t="s">
        <v>2145</v>
      </c>
      <c r="AZ27" s="25" t="s">
        <v>2122</v>
      </c>
      <c r="BA27" s="25" t="s">
        <v>77</v>
      </c>
      <c r="BB27" s="207">
        <v>5450</v>
      </c>
      <c r="BC27" s="207">
        <v>3270</v>
      </c>
      <c r="BD27" s="31">
        <v>0.14000000000000001</v>
      </c>
      <c r="CU27" s="83" t="s">
        <v>2154</v>
      </c>
      <c r="CV27" s="83" t="s">
        <v>2170</v>
      </c>
      <c r="CW27" s="33" t="s">
        <v>77</v>
      </c>
      <c r="CX27" s="337">
        <v>4880</v>
      </c>
      <c r="CY27" s="339">
        <v>3180</v>
      </c>
      <c r="CZ27" s="110">
        <v>0.12</v>
      </c>
      <c r="DK27" s="67" t="s">
        <v>2164</v>
      </c>
      <c r="DL27" s="25" t="s">
        <v>1932</v>
      </c>
      <c r="DM27" s="25" t="s">
        <v>1268</v>
      </c>
      <c r="DN27" s="337">
        <v>426320</v>
      </c>
      <c r="DO27" s="337">
        <v>319740</v>
      </c>
      <c r="DP27" s="29">
        <v>1.04</v>
      </c>
      <c r="DS27" s="25" t="s">
        <v>1939</v>
      </c>
      <c r="DT27" s="25" t="s">
        <v>2171</v>
      </c>
      <c r="DU27" s="25" t="s">
        <v>1821</v>
      </c>
      <c r="DV27" s="326">
        <v>122300</v>
      </c>
      <c r="DW27" s="326">
        <v>31800</v>
      </c>
      <c r="DX27" s="29">
        <v>0.95</v>
      </c>
      <c r="EA27" s="25" t="s">
        <v>2058</v>
      </c>
      <c r="EB27" s="25" t="s">
        <v>2172</v>
      </c>
      <c r="EC27" s="25" t="s">
        <v>947</v>
      </c>
      <c r="ED27" s="326">
        <v>6040</v>
      </c>
      <c r="EE27" s="326">
        <f t="shared" si="5"/>
        <v>3930</v>
      </c>
      <c r="EF27" s="29">
        <v>0.16</v>
      </c>
      <c r="EI27" s="25" t="s">
        <v>2173</v>
      </c>
      <c r="EJ27" s="25" t="s">
        <v>2174</v>
      </c>
      <c r="EK27" s="25" t="s">
        <v>1824</v>
      </c>
      <c r="EL27" s="326">
        <v>28500</v>
      </c>
      <c r="EM27" s="326">
        <f>EL27*0.44</f>
        <v>12540</v>
      </c>
      <c r="EN27" s="29">
        <v>0.11</v>
      </c>
      <c r="FG27" s="25" t="s">
        <v>2084</v>
      </c>
      <c r="FH27" s="25" t="s">
        <v>2002</v>
      </c>
      <c r="FI27" s="25" t="s">
        <v>1833</v>
      </c>
      <c r="FJ27" s="104">
        <v>23520</v>
      </c>
      <c r="FK27" s="104">
        <v>15760</v>
      </c>
      <c r="FL27" s="29">
        <v>0</v>
      </c>
    </row>
    <row r="28" spans="2:184">
      <c r="E28" s="25">
        <v>26</v>
      </c>
      <c r="F28" s="25" t="s">
        <v>2175</v>
      </c>
      <c r="AI28" s="25" t="s">
        <v>2143</v>
      </c>
      <c r="AJ28" s="25" t="s">
        <v>1899</v>
      </c>
      <c r="AK28" s="25" t="s">
        <v>77</v>
      </c>
      <c r="AL28" s="337">
        <v>12520</v>
      </c>
      <c r="AM28" s="340">
        <v>8780</v>
      </c>
      <c r="AN28" s="29">
        <v>0</v>
      </c>
      <c r="AQ28" s="25" t="s">
        <v>1802</v>
      </c>
      <c r="AR28" s="25" t="s">
        <v>2176</v>
      </c>
      <c r="AS28" s="25" t="s">
        <v>1795</v>
      </c>
      <c r="AT28" s="339">
        <v>32030</v>
      </c>
      <c r="AU28" s="339">
        <v>20820</v>
      </c>
      <c r="AV28" s="69">
        <v>1.24</v>
      </c>
      <c r="AY28" s="78" t="s">
        <v>334</v>
      </c>
      <c r="BB28" s="43"/>
      <c r="BC28" s="43"/>
      <c r="BD28" s="31"/>
      <c r="DK28" s="67" t="s">
        <v>2164</v>
      </c>
      <c r="DL28" s="25" t="s">
        <v>1950</v>
      </c>
      <c r="DM28" s="25" t="s">
        <v>1268</v>
      </c>
      <c r="DN28" s="337">
        <v>493190</v>
      </c>
      <c r="DO28" s="337">
        <v>369890</v>
      </c>
      <c r="DP28" s="29">
        <v>1.1200000000000001</v>
      </c>
      <c r="DS28" s="78" t="s">
        <v>334</v>
      </c>
      <c r="EA28" s="25" t="s">
        <v>2058</v>
      </c>
      <c r="EB28" s="25" t="s">
        <v>2177</v>
      </c>
      <c r="EC28" s="25" t="s">
        <v>947</v>
      </c>
      <c r="ED28" s="326">
        <v>7480</v>
      </c>
      <c r="EE28" s="326">
        <f t="shared" si="5"/>
        <v>4860</v>
      </c>
      <c r="EF28" s="29">
        <v>0.18</v>
      </c>
      <c r="EI28" s="25" t="s">
        <v>2173</v>
      </c>
      <c r="EJ28" s="25" t="s">
        <v>2178</v>
      </c>
      <c r="EK28" s="25" t="s">
        <v>1824</v>
      </c>
      <c r="EL28" s="326">
        <v>31400</v>
      </c>
      <c r="EM28" s="326">
        <f t="shared" ref="EM28:EM32" si="9">EL28*0.44</f>
        <v>13816</v>
      </c>
      <c r="EN28" s="29">
        <v>0.11</v>
      </c>
      <c r="FG28" s="25" t="s">
        <v>2084</v>
      </c>
      <c r="FH28" s="25" t="s">
        <v>2017</v>
      </c>
      <c r="FI28" s="25" t="s">
        <v>1833</v>
      </c>
      <c r="FJ28" s="104">
        <v>27120</v>
      </c>
      <c r="FK28" s="104">
        <v>18170</v>
      </c>
      <c r="FL28" s="29">
        <v>0</v>
      </c>
    </row>
    <row r="29" spans="2:184">
      <c r="E29" s="25">
        <v>27</v>
      </c>
      <c r="F29" s="25" t="s">
        <v>2179</v>
      </c>
      <c r="AI29" s="25" t="s">
        <v>2143</v>
      </c>
      <c r="AJ29" s="25" t="s">
        <v>1916</v>
      </c>
      <c r="AK29" s="25" t="s">
        <v>77</v>
      </c>
      <c r="AL29" s="337">
        <v>17520</v>
      </c>
      <c r="AM29" s="340">
        <v>12370</v>
      </c>
      <c r="AN29" s="29">
        <v>0</v>
      </c>
      <c r="AQ29" s="25" t="s">
        <v>1802</v>
      </c>
      <c r="AR29" s="25" t="s">
        <v>2180</v>
      </c>
      <c r="AS29" s="25" t="s">
        <v>1795</v>
      </c>
      <c r="AT29" s="339">
        <v>40230</v>
      </c>
      <c r="AU29" s="339">
        <v>26150</v>
      </c>
      <c r="AV29" s="69">
        <v>1.38</v>
      </c>
      <c r="AY29" s="25" t="s">
        <v>2181</v>
      </c>
      <c r="AZ29" s="25" t="s">
        <v>2182</v>
      </c>
      <c r="BA29" s="25" t="s">
        <v>299</v>
      </c>
      <c r="BB29" s="346">
        <v>370</v>
      </c>
      <c r="BC29" s="346">
        <v>270</v>
      </c>
      <c r="BD29" s="31">
        <v>7.0000000000000007E-2</v>
      </c>
      <c r="DK29" s="67" t="s">
        <v>2164</v>
      </c>
      <c r="DL29" s="25" t="s">
        <v>2183</v>
      </c>
      <c r="DM29" s="25" t="s">
        <v>1268</v>
      </c>
      <c r="DN29" s="337">
        <v>618580</v>
      </c>
      <c r="DO29" s="337">
        <v>463940</v>
      </c>
      <c r="DP29" s="29">
        <v>1.21</v>
      </c>
      <c r="DS29" s="25" t="s">
        <v>1819</v>
      </c>
      <c r="DT29" s="25" t="s">
        <v>2184</v>
      </c>
      <c r="DU29" s="25" t="s">
        <v>1821</v>
      </c>
      <c r="DV29" s="326">
        <v>12000</v>
      </c>
      <c r="DW29" s="326">
        <v>5520</v>
      </c>
      <c r="DX29" s="29">
        <v>0.16</v>
      </c>
      <c r="EA29" s="25" t="s">
        <v>2058</v>
      </c>
      <c r="EB29" s="25" t="s">
        <v>2185</v>
      </c>
      <c r="EC29" s="25" t="s">
        <v>947</v>
      </c>
      <c r="ED29" s="326">
        <v>10650</v>
      </c>
      <c r="EE29" s="326">
        <f t="shared" si="5"/>
        <v>6920</v>
      </c>
      <c r="EF29" s="29">
        <v>0.22</v>
      </c>
      <c r="EI29" s="25" t="s">
        <v>2173</v>
      </c>
      <c r="EJ29" s="25" t="s">
        <v>2186</v>
      </c>
      <c r="EK29" s="25" t="s">
        <v>1824</v>
      </c>
      <c r="EL29" s="326">
        <v>40500</v>
      </c>
      <c r="EM29" s="326">
        <f t="shared" si="9"/>
        <v>17820</v>
      </c>
      <c r="EN29" s="29">
        <v>0.12</v>
      </c>
      <c r="FG29" s="25" t="s">
        <v>2084</v>
      </c>
      <c r="FH29" s="25" t="s">
        <v>2035</v>
      </c>
      <c r="FI29" s="25" t="s">
        <v>1833</v>
      </c>
      <c r="FJ29" s="104">
        <v>44060</v>
      </c>
      <c r="FK29" s="104">
        <v>29520</v>
      </c>
      <c r="FL29" s="29">
        <v>1</v>
      </c>
    </row>
    <row r="30" spans="2:184">
      <c r="E30" s="25">
        <v>28</v>
      </c>
      <c r="F30" s="25" t="s">
        <v>1017</v>
      </c>
      <c r="V30" s="27" t="s">
        <v>2187</v>
      </c>
      <c r="W30" s="25"/>
      <c r="AI30" s="25" t="s">
        <v>2143</v>
      </c>
      <c r="AJ30" s="25" t="s">
        <v>1934</v>
      </c>
      <c r="AK30" s="25" t="s">
        <v>77</v>
      </c>
      <c r="AL30" s="337">
        <v>24040</v>
      </c>
      <c r="AM30" s="340">
        <v>13550</v>
      </c>
      <c r="AN30" s="29">
        <v>0</v>
      </c>
      <c r="AQ30" s="78" t="s">
        <v>334</v>
      </c>
      <c r="AT30" s="109"/>
      <c r="AU30" s="109"/>
      <c r="AV30" s="31"/>
      <c r="AY30" s="25" t="s">
        <v>2181</v>
      </c>
      <c r="AZ30" s="25" t="s">
        <v>2188</v>
      </c>
      <c r="BA30" s="25" t="s">
        <v>299</v>
      </c>
      <c r="BB30" s="346">
        <v>510</v>
      </c>
      <c r="BC30" s="346">
        <v>370</v>
      </c>
      <c r="BD30" s="31">
        <v>0.09</v>
      </c>
      <c r="DK30" s="67" t="s">
        <v>2164</v>
      </c>
      <c r="DL30" s="25" t="s">
        <v>1987</v>
      </c>
      <c r="DM30" s="25" t="s">
        <v>1268</v>
      </c>
      <c r="DN30" s="337">
        <v>891300</v>
      </c>
      <c r="DO30" s="337">
        <v>668480</v>
      </c>
      <c r="DP30" s="29">
        <v>1.3</v>
      </c>
      <c r="DS30" s="25" t="s">
        <v>1939</v>
      </c>
      <c r="DT30" s="25" t="s">
        <v>2189</v>
      </c>
      <c r="DU30" s="25" t="s">
        <v>1821</v>
      </c>
      <c r="DV30" s="326">
        <v>24700</v>
      </c>
      <c r="DW30" s="326">
        <v>6420</v>
      </c>
      <c r="DX30" s="29">
        <v>0.18</v>
      </c>
      <c r="EA30" s="25" t="s">
        <v>2058</v>
      </c>
      <c r="EB30" s="25" t="s">
        <v>2190</v>
      </c>
      <c r="EC30" s="25" t="s">
        <v>947</v>
      </c>
      <c r="ED30" s="326">
        <v>20620</v>
      </c>
      <c r="EE30" s="326">
        <f t="shared" si="5"/>
        <v>13400</v>
      </c>
      <c r="EF30" s="29">
        <v>0.37</v>
      </c>
      <c r="EI30" s="25" t="s">
        <v>2173</v>
      </c>
      <c r="EJ30" s="25" t="s">
        <v>2191</v>
      </c>
      <c r="EK30" s="25" t="s">
        <v>1824</v>
      </c>
      <c r="EL30" s="326">
        <v>49500</v>
      </c>
      <c r="EM30" s="326">
        <f t="shared" si="9"/>
        <v>21780</v>
      </c>
      <c r="EN30" s="29">
        <v>0.15</v>
      </c>
      <c r="FG30" s="25" t="s">
        <v>2084</v>
      </c>
      <c r="FH30" s="25" t="s">
        <v>2047</v>
      </c>
      <c r="FI30" s="25" t="s">
        <v>1833</v>
      </c>
      <c r="FJ30" s="104">
        <v>56130</v>
      </c>
      <c r="FK30" s="104">
        <v>37610</v>
      </c>
      <c r="FL30" s="29">
        <v>2</v>
      </c>
    </row>
    <row r="31" spans="2:184">
      <c r="E31" s="25">
        <v>29</v>
      </c>
      <c r="F31" s="25" t="s">
        <v>2192</v>
      </c>
      <c r="S31" s="25" t="s">
        <v>1796</v>
      </c>
      <c r="T31" s="25" t="s">
        <v>1797</v>
      </c>
      <c r="U31" s="25" t="s">
        <v>299</v>
      </c>
      <c r="V31" s="25">
        <v>2.63</v>
      </c>
      <c r="W31" s="25" t="s">
        <v>2193</v>
      </c>
      <c r="AQ31" s="67" t="s">
        <v>2194</v>
      </c>
      <c r="AR31" s="67" t="s">
        <v>2195</v>
      </c>
      <c r="AS31" s="67" t="s">
        <v>1795</v>
      </c>
      <c r="AT31" s="339">
        <v>310</v>
      </c>
      <c r="AU31" s="339">
        <v>200</v>
      </c>
      <c r="AV31" s="69">
        <v>0.06</v>
      </c>
      <c r="AY31" s="25" t="s">
        <v>2181</v>
      </c>
      <c r="AZ31" s="25" t="s">
        <v>1841</v>
      </c>
      <c r="BA31" s="25" t="s">
        <v>299</v>
      </c>
      <c r="BB31" s="346">
        <v>700</v>
      </c>
      <c r="BC31" s="346">
        <v>500</v>
      </c>
      <c r="BD31" s="31">
        <v>0.1</v>
      </c>
      <c r="DK31" s="67" t="s">
        <v>2164</v>
      </c>
      <c r="DL31" s="25" t="s">
        <v>2006</v>
      </c>
      <c r="DM31" s="25" t="s">
        <v>1268</v>
      </c>
      <c r="DN31" s="337">
        <v>1122220</v>
      </c>
      <c r="DO31" s="337">
        <v>841670</v>
      </c>
      <c r="DP31" s="29">
        <v>1.4</v>
      </c>
      <c r="DS31" s="25" t="s">
        <v>1939</v>
      </c>
      <c r="DT31" s="25" t="s">
        <v>2196</v>
      </c>
      <c r="DU31" s="25" t="s">
        <v>1821</v>
      </c>
      <c r="DV31" s="326">
        <v>31300</v>
      </c>
      <c r="DW31" s="326">
        <v>8140</v>
      </c>
      <c r="DX31" s="29">
        <v>0.22</v>
      </c>
      <c r="EA31" s="25" t="s">
        <v>2058</v>
      </c>
      <c r="EB31" s="25" t="s">
        <v>2197</v>
      </c>
      <c r="EC31" s="25" t="s">
        <v>947</v>
      </c>
      <c r="ED31" s="326">
        <v>26800</v>
      </c>
      <c r="EE31" s="326">
        <f t="shared" si="5"/>
        <v>17420</v>
      </c>
      <c r="EF31" s="29">
        <v>0.44</v>
      </c>
      <c r="EI31" s="25" t="s">
        <v>2173</v>
      </c>
      <c r="EJ31" s="25" t="s">
        <v>2198</v>
      </c>
      <c r="EK31" s="25" t="s">
        <v>1824</v>
      </c>
      <c r="EL31" s="326">
        <v>64400</v>
      </c>
      <c r="EM31" s="326">
        <f t="shared" si="9"/>
        <v>28336</v>
      </c>
      <c r="EN31" s="29">
        <v>0.17</v>
      </c>
      <c r="FG31" s="25" t="s">
        <v>2084</v>
      </c>
      <c r="FH31" s="25" t="s">
        <v>2062</v>
      </c>
      <c r="FI31" s="25" t="s">
        <v>1833</v>
      </c>
      <c r="FJ31" s="104">
        <v>65700</v>
      </c>
      <c r="FK31" s="104">
        <v>44020</v>
      </c>
      <c r="FL31" s="29">
        <v>3</v>
      </c>
    </row>
    <row r="32" spans="2:184">
      <c r="E32" s="25">
        <v>30</v>
      </c>
      <c r="F32" s="25" t="s">
        <v>2199</v>
      </c>
      <c r="S32" s="25" t="s">
        <v>1796</v>
      </c>
      <c r="T32" s="25" t="s">
        <v>1840</v>
      </c>
      <c r="U32" s="25" t="s">
        <v>299</v>
      </c>
      <c r="V32" s="25">
        <v>3.3</v>
      </c>
      <c r="W32" s="25"/>
      <c r="AQ32" s="67" t="s">
        <v>2194</v>
      </c>
      <c r="AR32" s="67" t="s">
        <v>2200</v>
      </c>
      <c r="AS32" s="67" t="s">
        <v>1795</v>
      </c>
      <c r="AT32" s="339">
        <v>460</v>
      </c>
      <c r="AU32" s="339">
        <v>300</v>
      </c>
      <c r="AV32" s="69">
        <v>7.0000000000000007E-2</v>
      </c>
      <c r="AY32" s="25" t="s">
        <v>2181</v>
      </c>
      <c r="AZ32" s="25" t="s">
        <v>1862</v>
      </c>
      <c r="BA32" s="25" t="s">
        <v>299</v>
      </c>
      <c r="BB32" s="346">
        <v>850</v>
      </c>
      <c r="BC32" s="346">
        <v>610</v>
      </c>
      <c r="BD32" s="31">
        <v>0.11</v>
      </c>
      <c r="DS32" s="25" t="s">
        <v>1939</v>
      </c>
      <c r="DT32" s="25" t="s">
        <v>2201</v>
      </c>
      <c r="DU32" s="25" t="s">
        <v>1821</v>
      </c>
      <c r="DV32" s="326">
        <v>35900</v>
      </c>
      <c r="DW32" s="326">
        <v>9330</v>
      </c>
      <c r="DX32" s="29">
        <v>0.37</v>
      </c>
      <c r="EA32" s="25" t="s">
        <v>2058</v>
      </c>
      <c r="EB32" s="32" t="s">
        <v>2202</v>
      </c>
      <c r="EC32" s="25" t="s">
        <v>947</v>
      </c>
      <c r="ED32" s="345">
        <v>6800</v>
      </c>
      <c r="EE32" s="326">
        <f>ED32*0.65</f>
        <v>4420</v>
      </c>
      <c r="EF32" s="29">
        <v>0.16</v>
      </c>
      <c r="EI32" s="25" t="s">
        <v>2173</v>
      </c>
      <c r="EJ32" s="25" t="s">
        <v>2203</v>
      </c>
      <c r="EK32" s="25" t="s">
        <v>1824</v>
      </c>
      <c r="EL32" s="326">
        <v>85700</v>
      </c>
      <c r="EM32" s="326">
        <f t="shared" si="9"/>
        <v>37708</v>
      </c>
      <c r="EN32" s="29">
        <v>0.22</v>
      </c>
      <c r="FG32" s="78" t="s">
        <v>334</v>
      </c>
      <c r="FL32" s="29">
        <v>0</v>
      </c>
    </row>
    <row r="33" spans="3:168">
      <c r="E33" s="25">
        <v>31</v>
      </c>
      <c r="F33" s="25" t="s">
        <v>2204</v>
      </c>
      <c r="S33" s="25" t="s">
        <v>1796</v>
      </c>
      <c r="T33" s="25" t="s">
        <v>1861</v>
      </c>
      <c r="U33" s="25" t="s">
        <v>299</v>
      </c>
      <c r="V33" s="25">
        <v>5.08</v>
      </c>
      <c r="W33" s="25"/>
      <c r="AQ33" s="67" t="s">
        <v>2194</v>
      </c>
      <c r="AR33" s="67" t="s">
        <v>2205</v>
      </c>
      <c r="AS33" s="67" t="s">
        <v>1795</v>
      </c>
      <c r="AT33" s="339">
        <v>500</v>
      </c>
      <c r="AU33" s="339">
        <v>330</v>
      </c>
      <c r="AV33" s="69">
        <v>7.0000000000000007E-2</v>
      </c>
      <c r="AY33" s="25" t="s">
        <v>2181</v>
      </c>
      <c r="AZ33" s="25" t="s">
        <v>2206</v>
      </c>
      <c r="BA33" s="25" t="s">
        <v>299</v>
      </c>
      <c r="BB33" s="346">
        <v>1310</v>
      </c>
      <c r="BC33" s="346">
        <v>950</v>
      </c>
      <c r="BD33" s="31">
        <v>0.14000000000000001</v>
      </c>
      <c r="DS33" s="25" t="s">
        <v>1939</v>
      </c>
      <c r="DT33" s="25" t="s">
        <v>2207</v>
      </c>
      <c r="DU33" s="25" t="s">
        <v>1821</v>
      </c>
      <c r="DV33" s="326">
        <v>40300</v>
      </c>
      <c r="DW33" s="326">
        <v>10480</v>
      </c>
      <c r="DX33" s="29">
        <v>0.44</v>
      </c>
      <c r="EA33" s="25" t="s">
        <v>2058</v>
      </c>
      <c r="EB33" s="32" t="s">
        <v>2208</v>
      </c>
      <c r="EC33" s="25" t="s">
        <v>947</v>
      </c>
      <c r="ED33" s="345">
        <v>6800</v>
      </c>
      <c r="EE33" s="326">
        <f t="shared" ref="EE33:EE37" si="10">ED33*0.65</f>
        <v>4420</v>
      </c>
      <c r="EF33" s="29">
        <v>0.16</v>
      </c>
      <c r="EI33" s="25" t="s">
        <v>2209</v>
      </c>
      <c r="EJ33" s="25" t="s">
        <v>2210</v>
      </c>
      <c r="EK33" s="25" t="s">
        <v>1824</v>
      </c>
      <c r="EL33" s="326">
        <v>82200</v>
      </c>
      <c r="EM33" s="326">
        <f>EL33*0.65</f>
        <v>53430</v>
      </c>
      <c r="EN33" s="29">
        <v>0.11</v>
      </c>
      <c r="FG33" s="25" t="s">
        <v>2211</v>
      </c>
      <c r="FH33" s="25" t="s">
        <v>1799</v>
      </c>
      <c r="FI33" s="25" t="s">
        <v>1833</v>
      </c>
      <c r="FJ33" s="184">
        <v>4100</v>
      </c>
      <c r="FK33" s="184">
        <v>2530</v>
      </c>
      <c r="FL33" s="29">
        <v>0</v>
      </c>
    </row>
    <row r="34" spans="3:168">
      <c r="S34" s="25" t="s">
        <v>1796</v>
      </c>
      <c r="T34" s="25" t="s">
        <v>1879</v>
      </c>
      <c r="U34" s="25" t="s">
        <v>299</v>
      </c>
      <c r="V34" s="25">
        <v>5.96</v>
      </c>
      <c r="W34" s="25"/>
      <c r="AQ34" s="67" t="s">
        <v>2194</v>
      </c>
      <c r="AR34" s="67" t="s">
        <v>2212</v>
      </c>
      <c r="AS34" s="67" t="s">
        <v>1795</v>
      </c>
      <c r="AT34" s="339">
        <v>760</v>
      </c>
      <c r="AU34" s="339">
        <v>500</v>
      </c>
      <c r="AV34" s="69">
        <v>0.09</v>
      </c>
      <c r="AY34" s="25" t="s">
        <v>2181</v>
      </c>
      <c r="AZ34" s="25" t="s">
        <v>1899</v>
      </c>
      <c r="BA34" s="25" t="s">
        <v>299</v>
      </c>
      <c r="BB34" s="346">
        <v>1740</v>
      </c>
      <c r="BC34" s="346">
        <v>1260</v>
      </c>
      <c r="BD34" s="31">
        <v>0.18</v>
      </c>
      <c r="DS34" s="25" t="s">
        <v>1939</v>
      </c>
      <c r="DT34" s="25" t="s">
        <v>2213</v>
      </c>
      <c r="DU34" s="25" t="s">
        <v>1821</v>
      </c>
      <c r="DV34" s="326">
        <v>48100</v>
      </c>
      <c r="DW34" s="326">
        <v>12510</v>
      </c>
      <c r="DX34" s="29">
        <v>0.54</v>
      </c>
      <c r="EA34" s="25" t="s">
        <v>2058</v>
      </c>
      <c r="EB34" s="25" t="s">
        <v>2214</v>
      </c>
      <c r="EC34" s="25" t="s">
        <v>947</v>
      </c>
      <c r="ED34" s="326">
        <v>8810</v>
      </c>
      <c r="EE34" s="326">
        <f t="shared" si="10"/>
        <v>5726.5</v>
      </c>
      <c r="EF34" s="29">
        <v>0.18</v>
      </c>
      <c r="EI34" s="25" t="s">
        <v>2209</v>
      </c>
      <c r="EJ34" s="25" t="s">
        <v>2215</v>
      </c>
      <c r="EK34" s="25" t="s">
        <v>1824</v>
      </c>
      <c r="EL34" s="326">
        <v>85200</v>
      </c>
      <c r="EM34" s="326">
        <f t="shared" ref="EM34:EM38" si="11">EL34*0.65</f>
        <v>55380</v>
      </c>
      <c r="EN34" s="29">
        <v>0.11</v>
      </c>
      <c r="FG34" s="25" t="s">
        <v>2211</v>
      </c>
      <c r="FH34" s="25" t="s">
        <v>1841</v>
      </c>
      <c r="FI34" s="25" t="s">
        <v>1833</v>
      </c>
      <c r="FJ34" s="184">
        <v>4230</v>
      </c>
      <c r="FK34" s="184">
        <v>2610</v>
      </c>
      <c r="FL34" s="29">
        <v>0</v>
      </c>
    </row>
    <row r="35" spans="3:168">
      <c r="S35" s="25" t="s">
        <v>1796</v>
      </c>
      <c r="T35" s="25" t="s">
        <v>1898</v>
      </c>
      <c r="U35" s="25" t="s">
        <v>299</v>
      </c>
      <c r="V35" s="25">
        <v>8.77</v>
      </c>
      <c r="W35" s="25"/>
      <c r="AQ35" s="67" t="s">
        <v>2194</v>
      </c>
      <c r="AR35" s="67" t="s">
        <v>2216</v>
      </c>
      <c r="AS35" s="67" t="s">
        <v>1795</v>
      </c>
      <c r="AT35" s="339">
        <v>970</v>
      </c>
      <c r="AU35" s="339">
        <v>630</v>
      </c>
      <c r="AV35" s="69">
        <v>0.1</v>
      </c>
      <c r="AY35" s="25" t="s">
        <v>2181</v>
      </c>
      <c r="AZ35" s="25" t="s">
        <v>1916</v>
      </c>
      <c r="BA35" s="25" t="s">
        <v>299</v>
      </c>
      <c r="BB35" s="346">
        <v>2660</v>
      </c>
      <c r="BC35" s="346">
        <v>1920</v>
      </c>
      <c r="BD35" s="31">
        <v>0.2</v>
      </c>
      <c r="DS35" s="25" t="s">
        <v>1939</v>
      </c>
      <c r="DT35" s="25" t="s">
        <v>2217</v>
      </c>
      <c r="DU35" s="25" t="s">
        <v>1821</v>
      </c>
      <c r="DV35" s="326">
        <v>69700</v>
      </c>
      <c r="DW35" s="326">
        <v>18120</v>
      </c>
      <c r="DX35" s="29">
        <v>0.56999999999999995</v>
      </c>
      <c r="EA35" s="25" t="s">
        <v>2058</v>
      </c>
      <c r="EB35" s="25" t="s">
        <v>2218</v>
      </c>
      <c r="EC35" s="25" t="s">
        <v>947</v>
      </c>
      <c r="ED35" s="326">
        <v>8810</v>
      </c>
      <c r="EE35" s="326">
        <f t="shared" si="10"/>
        <v>5726.5</v>
      </c>
      <c r="EF35" s="29">
        <v>0.18</v>
      </c>
      <c r="EI35" s="25" t="s">
        <v>2209</v>
      </c>
      <c r="EJ35" s="25" t="s">
        <v>2219</v>
      </c>
      <c r="EK35" s="25" t="s">
        <v>1824</v>
      </c>
      <c r="EL35" s="326">
        <v>94000</v>
      </c>
      <c r="EM35" s="326">
        <f t="shared" si="11"/>
        <v>61100</v>
      </c>
      <c r="EN35" s="29">
        <v>0.12</v>
      </c>
      <c r="FG35" s="25" t="s">
        <v>2211</v>
      </c>
      <c r="FH35" s="25" t="s">
        <v>1862</v>
      </c>
      <c r="FI35" s="25" t="s">
        <v>1833</v>
      </c>
      <c r="FJ35" s="184">
        <v>4680</v>
      </c>
      <c r="FK35" s="184">
        <v>2900</v>
      </c>
      <c r="FL35" s="29">
        <v>0</v>
      </c>
    </row>
    <row r="36" spans="3:168">
      <c r="C36" s="25" t="s">
        <v>1133</v>
      </c>
      <c r="D36" s="26"/>
      <c r="S36" s="25" t="s">
        <v>1796</v>
      </c>
      <c r="T36" s="25" t="s">
        <v>1915</v>
      </c>
      <c r="U36" s="25" t="s">
        <v>299</v>
      </c>
      <c r="V36" s="25">
        <v>12.1</v>
      </c>
      <c r="W36" s="25"/>
      <c r="AQ36" s="67" t="s">
        <v>2194</v>
      </c>
      <c r="AR36" s="67" t="s">
        <v>2220</v>
      </c>
      <c r="AS36" s="67" t="s">
        <v>1795</v>
      </c>
      <c r="AT36" s="339">
        <v>1330</v>
      </c>
      <c r="AU36" s="339">
        <v>870</v>
      </c>
      <c r="AV36" s="69">
        <v>0.12</v>
      </c>
      <c r="AY36" s="25" t="s">
        <v>2181</v>
      </c>
      <c r="AZ36" s="25" t="s">
        <v>1934</v>
      </c>
      <c r="BA36" s="25" t="s">
        <v>299</v>
      </c>
      <c r="BB36" s="346">
        <v>4260</v>
      </c>
      <c r="BC36" s="346">
        <v>3070</v>
      </c>
      <c r="BD36" s="31">
        <v>0.27</v>
      </c>
      <c r="DS36" s="25" t="s">
        <v>1939</v>
      </c>
      <c r="DT36" s="25" t="s">
        <v>2221</v>
      </c>
      <c r="DU36" s="25" t="s">
        <v>1821</v>
      </c>
      <c r="DV36" s="326">
        <v>84900</v>
      </c>
      <c r="DW36" s="326">
        <v>22070</v>
      </c>
      <c r="DX36" s="29">
        <v>0.65</v>
      </c>
      <c r="EA36" s="25" t="s">
        <v>2058</v>
      </c>
      <c r="EB36" s="25" t="s">
        <v>2222</v>
      </c>
      <c r="EC36" s="25" t="s">
        <v>947</v>
      </c>
      <c r="ED36" s="326">
        <v>10830</v>
      </c>
      <c r="EE36" s="326">
        <f t="shared" si="10"/>
        <v>7039.5</v>
      </c>
      <c r="EF36" s="29">
        <v>0.22</v>
      </c>
      <c r="EI36" s="25" t="s">
        <v>2209</v>
      </c>
      <c r="EJ36" s="25" t="s">
        <v>2223</v>
      </c>
      <c r="EK36" s="25" t="s">
        <v>1824</v>
      </c>
      <c r="EL36" s="326">
        <v>127000</v>
      </c>
      <c r="EM36" s="326">
        <f t="shared" si="11"/>
        <v>82550</v>
      </c>
      <c r="EN36" s="29">
        <v>0.15</v>
      </c>
      <c r="FG36" s="25" t="s">
        <v>2211</v>
      </c>
      <c r="FH36" s="25" t="s">
        <v>1880</v>
      </c>
      <c r="FI36" s="25" t="s">
        <v>1833</v>
      </c>
      <c r="FJ36" s="184">
        <v>4860</v>
      </c>
      <c r="FK36" s="184">
        <v>3010</v>
      </c>
      <c r="FL36" s="29">
        <v>0</v>
      </c>
    </row>
    <row r="37" spans="3:168">
      <c r="C37" s="112" t="s">
        <v>2224</v>
      </c>
      <c r="D37" s="26"/>
      <c r="S37" s="25" t="s">
        <v>1796</v>
      </c>
      <c r="T37" s="25" t="s">
        <v>1933</v>
      </c>
      <c r="U37" s="25" t="s">
        <v>299</v>
      </c>
      <c r="V37" s="25">
        <v>17.8</v>
      </c>
      <c r="W37" s="25"/>
      <c r="AQ37" s="67" t="s">
        <v>2194</v>
      </c>
      <c r="AR37" s="67" t="s">
        <v>2225</v>
      </c>
      <c r="AS37" s="67" t="s">
        <v>1795</v>
      </c>
      <c r="AT37" s="339">
        <v>1770</v>
      </c>
      <c r="AU37" s="339">
        <v>1150</v>
      </c>
      <c r="AV37" s="69">
        <v>0.15</v>
      </c>
      <c r="AY37" s="25" t="s">
        <v>2181</v>
      </c>
      <c r="AZ37" s="25" t="s">
        <v>2226</v>
      </c>
      <c r="BA37" s="25" t="s">
        <v>299</v>
      </c>
      <c r="BB37" s="346">
        <v>5850</v>
      </c>
      <c r="BC37" s="346">
        <v>4210</v>
      </c>
      <c r="BD37" s="31">
        <v>0.38</v>
      </c>
      <c r="DS37" s="25" t="s">
        <v>1939</v>
      </c>
      <c r="DT37" s="25" t="s">
        <v>2227</v>
      </c>
      <c r="DU37" s="25" t="s">
        <v>1821</v>
      </c>
      <c r="DV37" s="326">
        <v>162600</v>
      </c>
      <c r="DW37" s="326">
        <v>42280</v>
      </c>
      <c r="DX37" s="29">
        <v>0.95</v>
      </c>
      <c r="EA37" s="25" t="s">
        <v>2058</v>
      </c>
      <c r="EB37" s="25" t="s">
        <v>2228</v>
      </c>
      <c r="EC37" s="25" t="s">
        <v>947</v>
      </c>
      <c r="ED37" s="326">
        <v>10830</v>
      </c>
      <c r="EE37" s="326">
        <f t="shared" si="10"/>
        <v>7039.5</v>
      </c>
      <c r="EF37" s="29">
        <v>0.22</v>
      </c>
      <c r="EI37" s="25" t="s">
        <v>2209</v>
      </c>
      <c r="EJ37" s="25" t="s">
        <v>2229</v>
      </c>
      <c r="EK37" s="25" t="s">
        <v>1824</v>
      </c>
      <c r="EL37" s="326">
        <v>129000</v>
      </c>
      <c r="EM37" s="326">
        <f t="shared" si="11"/>
        <v>83850</v>
      </c>
      <c r="EN37" s="29">
        <v>0.17</v>
      </c>
      <c r="FG37" s="25" t="s">
        <v>2211</v>
      </c>
      <c r="FH37" s="25" t="s">
        <v>1899</v>
      </c>
      <c r="FI37" s="25" t="s">
        <v>1833</v>
      </c>
      <c r="FJ37" s="184">
        <v>4950</v>
      </c>
      <c r="FK37" s="184">
        <v>3080</v>
      </c>
      <c r="FL37" s="29">
        <v>0</v>
      </c>
    </row>
    <row r="38" spans="3:168">
      <c r="C38" s="47" t="s">
        <v>2230</v>
      </c>
      <c r="S38" s="25" t="s">
        <v>1796</v>
      </c>
      <c r="T38" s="25" t="s">
        <v>1951</v>
      </c>
      <c r="U38" s="25" t="s">
        <v>299</v>
      </c>
      <c r="V38" s="25">
        <v>23.5</v>
      </c>
      <c r="W38" s="25"/>
      <c r="AQ38" s="78" t="s">
        <v>334</v>
      </c>
      <c r="AT38" s="109"/>
      <c r="AU38" s="109"/>
      <c r="AY38" s="25" t="s">
        <v>2181</v>
      </c>
      <c r="AZ38" s="25" t="s">
        <v>1970</v>
      </c>
      <c r="BA38" s="25" t="s">
        <v>299</v>
      </c>
      <c r="BB38" s="346">
        <v>10360</v>
      </c>
      <c r="BC38" s="346">
        <v>7460</v>
      </c>
      <c r="BD38" s="31">
        <v>0.39</v>
      </c>
      <c r="DS38" s="78" t="s">
        <v>334</v>
      </c>
      <c r="EI38" s="25" t="s">
        <v>2209</v>
      </c>
      <c r="EJ38" s="25" t="s">
        <v>2231</v>
      </c>
      <c r="EK38" s="25" t="s">
        <v>1824</v>
      </c>
      <c r="EL38" s="326">
        <v>152000</v>
      </c>
      <c r="EM38" s="326">
        <f t="shared" si="11"/>
        <v>98800</v>
      </c>
      <c r="EN38" s="29">
        <v>0.22</v>
      </c>
      <c r="FG38" s="25" t="s">
        <v>2211</v>
      </c>
      <c r="FH38" s="25" t="s">
        <v>1916</v>
      </c>
      <c r="FI38" s="25" t="s">
        <v>1833</v>
      </c>
      <c r="FJ38" s="184">
        <v>5760</v>
      </c>
      <c r="FK38" s="184">
        <v>3580</v>
      </c>
      <c r="FL38" s="29">
        <v>0</v>
      </c>
    </row>
    <row r="39" spans="3:168">
      <c r="C39" s="48" t="s">
        <v>2232</v>
      </c>
      <c r="S39" s="25" t="s">
        <v>1796</v>
      </c>
      <c r="T39" s="25" t="s">
        <v>1971</v>
      </c>
      <c r="U39" s="25" t="s">
        <v>299</v>
      </c>
      <c r="V39" s="25">
        <v>45</v>
      </c>
      <c r="W39" s="25"/>
      <c r="AQ39" s="78" t="s">
        <v>2233</v>
      </c>
      <c r="AR39" s="25" t="s">
        <v>2234</v>
      </c>
      <c r="AS39" s="25" t="s">
        <v>1795</v>
      </c>
      <c r="AT39" s="339">
        <v>400</v>
      </c>
      <c r="AU39" s="339">
        <v>290</v>
      </c>
      <c r="AV39" s="29">
        <v>0.06</v>
      </c>
      <c r="AY39" s="78" t="s">
        <v>334</v>
      </c>
      <c r="BB39" s="43"/>
      <c r="BC39" s="43"/>
      <c r="BD39" s="31"/>
      <c r="DS39" s="25" t="s">
        <v>2235</v>
      </c>
      <c r="DT39" s="347" t="s">
        <v>2236</v>
      </c>
      <c r="DU39" s="25" t="s">
        <v>77</v>
      </c>
      <c r="DV39" s="326">
        <v>14000</v>
      </c>
      <c r="DW39" s="326">
        <f>ROUND(DV39*0.6,-1)</f>
        <v>8400</v>
      </c>
      <c r="DX39" s="29">
        <v>0.16</v>
      </c>
      <c r="EI39" s="25" t="s">
        <v>2237</v>
      </c>
      <c r="EJ39" s="25" t="s">
        <v>2238</v>
      </c>
      <c r="EK39" s="25" t="s">
        <v>1824</v>
      </c>
      <c r="EL39" s="326">
        <v>194000</v>
      </c>
      <c r="EM39" s="326">
        <f>EL39*0.65</f>
        <v>126100</v>
      </c>
      <c r="EN39" s="29">
        <v>0.17</v>
      </c>
      <c r="FG39" s="25" t="s">
        <v>2211</v>
      </c>
      <c r="FH39" s="25" t="s">
        <v>1934</v>
      </c>
      <c r="FI39" s="25" t="s">
        <v>1833</v>
      </c>
      <c r="FJ39" s="184">
        <v>6350</v>
      </c>
      <c r="FK39" s="184">
        <v>3930</v>
      </c>
      <c r="FL39" s="29">
        <v>0</v>
      </c>
    </row>
    <row r="40" spans="3:168">
      <c r="C40" s="39" t="s">
        <v>2239</v>
      </c>
      <c r="S40" s="25" t="s">
        <v>1796</v>
      </c>
      <c r="T40" s="25" t="s">
        <v>1988</v>
      </c>
      <c r="U40" s="25" t="s">
        <v>299</v>
      </c>
      <c r="V40" s="25">
        <v>53.8</v>
      </c>
      <c r="W40" s="25"/>
      <c r="AQ40" s="78" t="s">
        <v>2233</v>
      </c>
      <c r="AR40" s="25" t="s">
        <v>2240</v>
      </c>
      <c r="AS40" s="25" t="s">
        <v>1795</v>
      </c>
      <c r="AT40" s="339">
        <v>600</v>
      </c>
      <c r="AU40" s="339">
        <v>430</v>
      </c>
      <c r="AV40" s="105">
        <v>7.0000000000000007E-2</v>
      </c>
      <c r="AY40" s="25" t="s">
        <v>2241</v>
      </c>
      <c r="AZ40" s="25" t="s">
        <v>1841</v>
      </c>
      <c r="BA40" s="25" t="s">
        <v>77</v>
      </c>
      <c r="BB40" s="223">
        <v>480</v>
      </c>
      <c r="BC40" s="223">
        <f>ROUND(BB40*0.72,-1)</f>
        <v>350</v>
      </c>
      <c r="BD40" s="31">
        <v>0</v>
      </c>
      <c r="DS40" s="25" t="s">
        <v>2235</v>
      </c>
      <c r="DT40" s="347" t="s">
        <v>2242</v>
      </c>
      <c r="DU40" s="25" t="s">
        <v>77</v>
      </c>
      <c r="DV40" s="326">
        <v>15000</v>
      </c>
      <c r="DW40" s="326">
        <f t="shared" ref="DW40:DW48" si="12">ROUND(DV40*0.6,-1)</f>
        <v>9000</v>
      </c>
      <c r="DX40" s="29">
        <v>0.18</v>
      </c>
      <c r="EI40" s="25" t="s">
        <v>2237</v>
      </c>
      <c r="EJ40" s="25" t="s">
        <v>2243</v>
      </c>
      <c r="EK40" s="25" t="s">
        <v>1824</v>
      </c>
      <c r="EL40" s="326">
        <v>209000</v>
      </c>
      <c r="EM40" s="326">
        <f t="shared" ref="EM40:EM45" si="13">EL40*0.65</f>
        <v>135850</v>
      </c>
      <c r="EN40" s="114">
        <v>0.18</v>
      </c>
      <c r="FG40" s="25" t="s">
        <v>2211</v>
      </c>
      <c r="FH40" s="25" t="s">
        <v>1952</v>
      </c>
      <c r="FI40" s="25" t="s">
        <v>1833</v>
      </c>
      <c r="FJ40" s="184">
        <v>6930</v>
      </c>
      <c r="FK40" s="184">
        <v>4300</v>
      </c>
      <c r="FL40" s="29">
        <v>0</v>
      </c>
    </row>
    <row r="41" spans="3:168">
      <c r="C41" s="67" t="s">
        <v>1200</v>
      </c>
      <c r="S41" s="78" t="s">
        <v>334</v>
      </c>
      <c r="V41" s="25"/>
      <c r="W41" s="25"/>
      <c r="AQ41" s="78" t="s">
        <v>2233</v>
      </c>
      <c r="AR41" s="25" t="s">
        <v>2244</v>
      </c>
      <c r="AS41" s="25" t="s">
        <v>1795</v>
      </c>
      <c r="AT41" s="339">
        <v>720</v>
      </c>
      <c r="AU41" s="339">
        <v>520</v>
      </c>
      <c r="AV41" s="29">
        <v>7.0000000000000007E-2</v>
      </c>
      <c r="AY41" s="25" t="s">
        <v>2241</v>
      </c>
      <c r="AZ41" s="25" t="s">
        <v>1862</v>
      </c>
      <c r="BA41" s="25" t="s">
        <v>77</v>
      </c>
      <c r="BB41" s="223">
        <v>620</v>
      </c>
      <c r="BC41" s="223">
        <f t="shared" ref="BC41:BC47" si="14">ROUND(BB41*0.72,-1)</f>
        <v>450</v>
      </c>
      <c r="BD41" s="31">
        <v>0</v>
      </c>
      <c r="DS41" s="25" t="s">
        <v>2235</v>
      </c>
      <c r="DT41" s="347" t="s">
        <v>2245</v>
      </c>
      <c r="DU41" s="25" t="s">
        <v>77</v>
      </c>
      <c r="DV41" s="326">
        <v>17000</v>
      </c>
      <c r="DW41" s="326">
        <f t="shared" si="12"/>
        <v>10200</v>
      </c>
      <c r="DX41" s="29">
        <v>0.22</v>
      </c>
      <c r="EI41" s="25" t="s">
        <v>2237</v>
      </c>
      <c r="EJ41" s="25" t="s">
        <v>2246</v>
      </c>
      <c r="EK41" s="25" t="s">
        <v>1824</v>
      </c>
      <c r="EL41" s="326">
        <v>305000</v>
      </c>
      <c r="EM41" s="326">
        <f t="shared" si="13"/>
        <v>198250</v>
      </c>
      <c r="EN41" s="114">
        <v>0.32</v>
      </c>
      <c r="FG41" s="25" t="s">
        <v>2211</v>
      </c>
      <c r="FH41" s="25" t="s">
        <v>1970</v>
      </c>
      <c r="FI41" s="25" t="s">
        <v>1833</v>
      </c>
      <c r="FJ41" s="184">
        <v>8370</v>
      </c>
      <c r="FK41" s="184">
        <v>5190</v>
      </c>
      <c r="FL41" s="29">
        <v>0</v>
      </c>
    </row>
    <row r="42" spans="3:168">
      <c r="C42" s="91" t="s">
        <v>1210</v>
      </c>
      <c r="S42" s="25" t="s">
        <v>2022</v>
      </c>
      <c r="T42" s="25" t="s">
        <v>1797</v>
      </c>
      <c r="U42" s="25" t="s">
        <v>81</v>
      </c>
      <c r="V42" s="25">
        <f>5.5*V31</f>
        <v>14.465</v>
      </c>
      <c r="W42" s="25" t="s">
        <v>2247</v>
      </c>
      <c r="AQ42" s="78" t="s">
        <v>2233</v>
      </c>
      <c r="AR42" s="25" t="s">
        <v>2248</v>
      </c>
      <c r="AS42" s="25" t="s">
        <v>1795</v>
      </c>
      <c r="AT42" s="339">
        <v>1040</v>
      </c>
      <c r="AU42" s="339">
        <v>750</v>
      </c>
      <c r="AV42" s="29">
        <v>0.09</v>
      </c>
      <c r="AY42" s="25" t="s">
        <v>2241</v>
      </c>
      <c r="AZ42" s="25" t="s">
        <v>2206</v>
      </c>
      <c r="BA42" s="25" t="s">
        <v>77</v>
      </c>
      <c r="BB42" s="223">
        <v>750</v>
      </c>
      <c r="BC42" s="223">
        <f t="shared" si="14"/>
        <v>540</v>
      </c>
      <c r="BD42" s="31">
        <v>0</v>
      </c>
      <c r="DS42" s="25" t="s">
        <v>2235</v>
      </c>
      <c r="DT42" s="347" t="s">
        <v>2249</v>
      </c>
      <c r="DU42" s="25" t="s">
        <v>77</v>
      </c>
      <c r="DV42" s="326">
        <v>21000</v>
      </c>
      <c r="DW42" s="326">
        <f t="shared" si="12"/>
        <v>12600</v>
      </c>
      <c r="DX42" s="29">
        <v>0.37</v>
      </c>
      <c r="EI42" s="25" t="s">
        <v>2237</v>
      </c>
      <c r="EJ42" s="25" t="s">
        <v>2250</v>
      </c>
      <c r="EK42" s="25" t="s">
        <v>1824</v>
      </c>
      <c r="EL42" s="326">
        <v>350000</v>
      </c>
      <c r="EM42" s="326">
        <f t="shared" si="13"/>
        <v>227500</v>
      </c>
      <c r="EN42" s="114">
        <v>0.39</v>
      </c>
      <c r="FG42" s="25" t="s">
        <v>2211</v>
      </c>
      <c r="FH42" s="25" t="s">
        <v>2002</v>
      </c>
      <c r="FI42" s="25" t="s">
        <v>1833</v>
      </c>
      <c r="FJ42" s="184">
        <v>9770</v>
      </c>
      <c r="FK42" s="184">
        <v>6070</v>
      </c>
      <c r="FL42" s="29">
        <v>0</v>
      </c>
    </row>
    <row r="43" spans="3:168">
      <c r="C43" s="169" t="s">
        <v>1229</v>
      </c>
      <c r="S43" s="25" t="s">
        <v>2022</v>
      </c>
      <c r="T43" s="25" t="s">
        <v>1840</v>
      </c>
      <c r="U43" s="25" t="s">
        <v>81</v>
      </c>
      <c r="V43" s="25">
        <f>5.5*V32</f>
        <v>18.149999999999999</v>
      </c>
      <c r="W43" s="25"/>
      <c r="AQ43" s="78" t="s">
        <v>2233</v>
      </c>
      <c r="AR43" s="25" t="s">
        <v>2251</v>
      </c>
      <c r="AS43" s="25" t="s">
        <v>1795</v>
      </c>
      <c r="AT43" s="339">
        <v>1290</v>
      </c>
      <c r="AU43" s="339">
        <v>930</v>
      </c>
      <c r="AV43" s="29">
        <v>0.1</v>
      </c>
      <c r="AY43" s="25" t="s">
        <v>2241</v>
      </c>
      <c r="AZ43" s="25" t="s">
        <v>1899</v>
      </c>
      <c r="BA43" s="25" t="s">
        <v>77</v>
      </c>
      <c r="BB43" s="223">
        <v>970</v>
      </c>
      <c r="BC43" s="223">
        <f t="shared" si="14"/>
        <v>700</v>
      </c>
      <c r="BD43" s="31">
        <v>0</v>
      </c>
      <c r="DS43" s="25" t="s">
        <v>2235</v>
      </c>
      <c r="DT43" s="347" t="s">
        <v>2252</v>
      </c>
      <c r="DU43" s="25" t="s">
        <v>77</v>
      </c>
      <c r="DV43" s="326">
        <v>23000</v>
      </c>
      <c r="DW43" s="326">
        <f t="shared" si="12"/>
        <v>13800</v>
      </c>
      <c r="DX43" s="29">
        <v>0.44</v>
      </c>
      <c r="EI43" s="25" t="s">
        <v>2237</v>
      </c>
      <c r="EJ43" s="25" t="s">
        <v>2253</v>
      </c>
      <c r="EK43" s="25" t="s">
        <v>1824</v>
      </c>
      <c r="EL43" s="326">
        <v>485000</v>
      </c>
      <c r="EM43" s="326">
        <f t="shared" si="13"/>
        <v>315250</v>
      </c>
      <c r="EN43" s="114">
        <v>0.48</v>
      </c>
      <c r="FG43" s="25" t="s">
        <v>2211</v>
      </c>
      <c r="FH43" s="25" t="s">
        <v>2017</v>
      </c>
      <c r="FI43" s="25" t="s">
        <v>1833</v>
      </c>
      <c r="FJ43" s="184">
        <v>11210</v>
      </c>
      <c r="FK43" s="184">
        <v>6970</v>
      </c>
      <c r="FL43" s="29">
        <v>0</v>
      </c>
    </row>
    <row r="44" spans="3:168">
      <c r="C44" s="115" t="s">
        <v>1240</v>
      </c>
      <c r="S44" s="25" t="s">
        <v>2022</v>
      </c>
      <c r="T44" s="25" t="s">
        <v>1861</v>
      </c>
      <c r="U44" s="25" t="s">
        <v>81</v>
      </c>
      <c r="V44" s="25">
        <f>5.5*V33</f>
        <v>27.94</v>
      </c>
      <c r="W44" s="25"/>
      <c r="AQ44" s="78" t="s">
        <v>2233</v>
      </c>
      <c r="AR44" s="25" t="s">
        <v>2254</v>
      </c>
      <c r="AS44" s="25" t="s">
        <v>1795</v>
      </c>
      <c r="AT44" s="339">
        <v>1880</v>
      </c>
      <c r="AU44" s="339">
        <v>1350</v>
      </c>
      <c r="AV44" s="105">
        <v>0.12</v>
      </c>
      <c r="AY44" s="25" t="s">
        <v>2241</v>
      </c>
      <c r="AZ44" s="25" t="s">
        <v>1916</v>
      </c>
      <c r="BA44" s="25" t="s">
        <v>77</v>
      </c>
      <c r="BB44" s="223">
        <v>1410</v>
      </c>
      <c r="BC44" s="223">
        <f t="shared" si="14"/>
        <v>1020</v>
      </c>
      <c r="BD44" s="31">
        <v>0</v>
      </c>
      <c r="DS44" s="25" t="s">
        <v>2235</v>
      </c>
      <c r="DT44" s="347" t="s">
        <v>2255</v>
      </c>
      <c r="DU44" s="25" t="s">
        <v>77</v>
      </c>
      <c r="DV44" s="326">
        <v>27000</v>
      </c>
      <c r="DW44" s="326">
        <f t="shared" si="12"/>
        <v>16200</v>
      </c>
      <c r="DX44" s="29">
        <v>0.54</v>
      </c>
      <c r="EI44" s="25" t="s">
        <v>2237</v>
      </c>
      <c r="EJ44" s="25" t="s">
        <v>2256</v>
      </c>
      <c r="EK44" s="25" t="s">
        <v>1824</v>
      </c>
      <c r="EL44" s="326">
        <v>949000</v>
      </c>
      <c r="EM44" s="326">
        <f t="shared" si="13"/>
        <v>616850</v>
      </c>
      <c r="EN44" s="114">
        <v>0.56999999999999995</v>
      </c>
      <c r="FG44" s="25" t="s">
        <v>2211</v>
      </c>
      <c r="FH44" s="25" t="s">
        <v>2035</v>
      </c>
      <c r="FI44" s="25" t="s">
        <v>1833</v>
      </c>
      <c r="FJ44" s="184">
        <v>17190</v>
      </c>
      <c r="FK44" s="184">
        <v>10680</v>
      </c>
      <c r="FL44" s="29">
        <v>1</v>
      </c>
    </row>
    <row r="45" spans="3:168">
      <c r="C45" s="186" t="s">
        <v>1701</v>
      </c>
      <c r="S45" s="25" t="s">
        <v>2022</v>
      </c>
      <c r="T45" s="25" t="s">
        <v>1879</v>
      </c>
      <c r="U45" s="25" t="s">
        <v>81</v>
      </c>
      <c r="V45" s="25">
        <f>5.5*V34</f>
        <v>32.78</v>
      </c>
      <c r="W45" s="25"/>
      <c r="AQ45" s="78" t="s">
        <v>2233</v>
      </c>
      <c r="AR45" s="25" t="s">
        <v>2257</v>
      </c>
      <c r="AS45" s="25" t="s">
        <v>1795</v>
      </c>
      <c r="AT45" s="339">
        <v>2870</v>
      </c>
      <c r="AU45" s="339">
        <v>2070</v>
      </c>
      <c r="AV45" s="105">
        <v>0.15</v>
      </c>
      <c r="AY45" s="25" t="s">
        <v>2241</v>
      </c>
      <c r="AZ45" s="25" t="s">
        <v>1934</v>
      </c>
      <c r="BA45" s="25" t="s">
        <v>77</v>
      </c>
      <c r="BB45" s="223">
        <v>2530</v>
      </c>
      <c r="BC45" s="223">
        <f t="shared" si="14"/>
        <v>1820</v>
      </c>
      <c r="BD45" s="31">
        <v>0</v>
      </c>
      <c r="DS45" s="25" t="s">
        <v>2235</v>
      </c>
      <c r="DT45" s="347" t="s">
        <v>2258</v>
      </c>
      <c r="DU45" s="25" t="s">
        <v>77</v>
      </c>
      <c r="DV45" s="326">
        <v>40000</v>
      </c>
      <c r="DW45" s="326">
        <f t="shared" si="12"/>
        <v>24000</v>
      </c>
      <c r="DX45" s="29">
        <v>0.56999999999999995</v>
      </c>
      <c r="EI45" s="25" t="s">
        <v>2237</v>
      </c>
      <c r="EJ45" s="25" t="s">
        <v>2259</v>
      </c>
      <c r="EK45" s="25" t="s">
        <v>1824</v>
      </c>
      <c r="EL45" s="326">
        <v>1266000</v>
      </c>
      <c r="EM45" s="326">
        <f t="shared" si="13"/>
        <v>822900</v>
      </c>
      <c r="EN45" s="114">
        <v>0.65</v>
      </c>
      <c r="FG45" s="25" t="s">
        <v>2211</v>
      </c>
      <c r="FH45" s="25" t="s">
        <v>2047</v>
      </c>
      <c r="FI45" s="25" t="s">
        <v>1833</v>
      </c>
      <c r="FJ45" s="184">
        <v>21830</v>
      </c>
      <c r="FK45" s="184">
        <v>13570</v>
      </c>
      <c r="FL45" s="29">
        <v>2</v>
      </c>
    </row>
    <row r="46" spans="3:168">
      <c r="C46" s="32" t="s">
        <v>2260</v>
      </c>
      <c r="S46" s="25" t="s">
        <v>2022</v>
      </c>
      <c r="T46" s="25" t="s">
        <v>1898</v>
      </c>
      <c r="U46" s="25" t="s">
        <v>81</v>
      </c>
      <c r="V46" s="25">
        <f t="shared" ref="V46:V51" si="15">5.5*V35</f>
        <v>48.234999999999999</v>
      </c>
      <c r="W46" s="25"/>
      <c r="AQ46" s="78" t="s">
        <v>2233</v>
      </c>
      <c r="AR46" s="25" t="s">
        <v>2261</v>
      </c>
      <c r="AS46" s="25" t="s">
        <v>1795</v>
      </c>
      <c r="AT46" s="339">
        <v>3920</v>
      </c>
      <c r="AU46" s="339">
        <v>2830</v>
      </c>
      <c r="AV46" s="105">
        <v>0.2</v>
      </c>
      <c r="AY46" s="25" t="s">
        <v>2241</v>
      </c>
      <c r="AZ46" s="25" t="s">
        <v>2226</v>
      </c>
      <c r="BA46" s="25" t="s">
        <v>77</v>
      </c>
      <c r="BB46" s="223">
        <v>4230</v>
      </c>
      <c r="BC46" s="223">
        <f t="shared" si="14"/>
        <v>3050</v>
      </c>
      <c r="BD46" s="31">
        <v>0</v>
      </c>
      <c r="DS46" s="25" t="s">
        <v>2235</v>
      </c>
      <c r="DT46" s="347" t="s">
        <v>2262</v>
      </c>
      <c r="DU46" s="25" t="s">
        <v>77</v>
      </c>
      <c r="DV46" s="326">
        <v>50000</v>
      </c>
      <c r="DW46" s="326">
        <f t="shared" si="12"/>
        <v>30000</v>
      </c>
      <c r="DX46" s="29">
        <v>0.65</v>
      </c>
      <c r="FG46" s="25" t="s">
        <v>2211</v>
      </c>
      <c r="FH46" s="25" t="s">
        <v>2062</v>
      </c>
      <c r="FI46" s="25" t="s">
        <v>1833</v>
      </c>
      <c r="FJ46" s="184">
        <v>25880</v>
      </c>
      <c r="FK46" s="184">
        <v>16100</v>
      </c>
      <c r="FL46" s="29">
        <v>3</v>
      </c>
    </row>
    <row r="47" spans="3:168">
      <c r="C47" s="210" t="s">
        <v>2263</v>
      </c>
      <c r="S47" s="25" t="s">
        <v>2022</v>
      </c>
      <c r="T47" s="25" t="s">
        <v>1915</v>
      </c>
      <c r="U47" s="25" t="s">
        <v>81</v>
      </c>
      <c r="V47" s="25">
        <f t="shared" si="15"/>
        <v>66.55</v>
      </c>
      <c r="W47" s="25"/>
      <c r="AQ47" s="78" t="s">
        <v>2233</v>
      </c>
      <c r="AR47" s="25" t="s">
        <v>2264</v>
      </c>
      <c r="AS47" s="25" t="s">
        <v>1795</v>
      </c>
      <c r="AT47" s="339">
        <v>5550</v>
      </c>
      <c r="AU47" s="339">
        <v>4000</v>
      </c>
      <c r="AV47" s="105">
        <v>0.23</v>
      </c>
      <c r="AY47" s="25" t="s">
        <v>2241</v>
      </c>
      <c r="AZ47" s="25" t="s">
        <v>1970</v>
      </c>
      <c r="BA47" s="25" t="s">
        <v>77</v>
      </c>
      <c r="BB47" s="223">
        <v>7280</v>
      </c>
      <c r="BC47" s="223">
        <f t="shared" si="14"/>
        <v>5240</v>
      </c>
      <c r="BD47" s="31">
        <v>0</v>
      </c>
      <c r="DS47" s="25" t="s">
        <v>2235</v>
      </c>
      <c r="DT47" s="347" t="s">
        <v>2265</v>
      </c>
      <c r="DU47" s="25" t="s">
        <v>77</v>
      </c>
      <c r="DV47" s="326">
        <v>65000</v>
      </c>
      <c r="DW47" s="326">
        <f t="shared" si="12"/>
        <v>39000</v>
      </c>
      <c r="DX47" s="29">
        <v>0.95</v>
      </c>
      <c r="FG47" s="78" t="s">
        <v>334</v>
      </c>
    </row>
    <row r="48" spans="3:168">
      <c r="C48" s="224" t="s">
        <v>1269</v>
      </c>
      <c r="S48" s="25" t="s">
        <v>2022</v>
      </c>
      <c r="T48" s="25" t="s">
        <v>1933</v>
      </c>
      <c r="U48" s="25" t="s">
        <v>81</v>
      </c>
      <c r="V48" s="25">
        <f t="shared" si="15"/>
        <v>97.9</v>
      </c>
      <c r="W48" s="25"/>
      <c r="AQ48" s="78" t="s">
        <v>2233</v>
      </c>
      <c r="AR48" s="25" t="s">
        <v>2266</v>
      </c>
      <c r="AS48" s="25" t="s">
        <v>1795</v>
      </c>
      <c r="AT48" s="339">
        <v>8610</v>
      </c>
      <c r="AU48" s="339">
        <v>6200</v>
      </c>
      <c r="AV48" s="105">
        <v>0.28999999999999998</v>
      </c>
      <c r="AY48" s="78" t="s">
        <v>334</v>
      </c>
      <c r="BB48" s="43"/>
      <c r="BC48" s="43"/>
      <c r="BD48" s="31"/>
      <c r="DS48" s="25" t="s">
        <v>2235</v>
      </c>
      <c r="DT48" s="347" t="s">
        <v>2267</v>
      </c>
      <c r="DU48" s="25" t="s">
        <v>77</v>
      </c>
      <c r="DV48" s="326">
        <v>97000</v>
      </c>
      <c r="DW48" s="326">
        <f t="shared" si="12"/>
        <v>58200</v>
      </c>
      <c r="DX48" s="29">
        <v>1.1299999999999999</v>
      </c>
      <c r="FG48" s="25" t="s">
        <v>2085</v>
      </c>
      <c r="FH48" s="25" t="s">
        <v>2086</v>
      </c>
      <c r="FI48" s="25" t="s">
        <v>2087</v>
      </c>
      <c r="FL48" s="29">
        <v>0</v>
      </c>
    </row>
    <row r="49" spans="3:168">
      <c r="C49" s="243" t="s">
        <v>1275</v>
      </c>
      <c r="S49" s="25" t="s">
        <v>2022</v>
      </c>
      <c r="T49" s="25" t="s">
        <v>1951</v>
      </c>
      <c r="U49" s="25" t="s">
        <v>81</v>
      </c>
      <c r="V49" s="25">
        <f t="shared" si="15"/>
        <v>129.25</v>
      </c>
      <c r="W49" s="25"/>
      <c r="AQ49" s="78" t="s">
        <v>2233</v>
      </c>
      <c r="AR49" s="25" t="s">
        <v>2268</v>
      </c>
      <c r="AS49" s="25" t="s">
        <v>1795</v>
      </c>
      <c r="AT49" s="339">
        <v>11530</v>
      </c>
      <c r="AU49" s="339">
        <v>8300</v>
      </c>
      <c r="AV49" s="105">
        <v>0.36</v>
      </c>
      <c r="AY49" s="25" t="s">
        <v>2269</v>
      </c>
      <c r="AZ49" s="25" t="s">
        <v>1841</v>
      </c>
      <c r="BA49" s="25" t="s">
        <v>77</v>
      </c>
      <c r="BB49" s="223">
        <v>580</v>
      </c>
      <c r="BC49" s="223">
        <f>ROUND(BB49*0.72,-1)</f>
        <v>420</v>
      </c>
      <c r="BD49" s="31">
        <v>0</v>
      </c>
      <c r="FG49" s="25" t="s">
        <v>2270</v>
      </c>
      <c r="FH49" s="25" t="s">
        <v>2100</v>
      </c>
      <c r="FI49" s="25" t="s">
        <v>2087</v>
      </c>
      <c r="FL49" s="29">
        <v>0</v>
      </c>
    </row>
    <row r="50" spans="3:168">
      <c r="C50" s="322" t="s">
        <v>1286</v>
      </c>
      <c r="S50" s="25" t="s">
        <v>2022</v>
      </c>
      <c r="T50" s="25" t="s">
        <v>1971</v>
      </c>
      <c r="U50" s="25" t="s">
        <v>81</v>
      </c>
      <c r="V50" s="25">
        <f t="shared" si="15"/>
        <v>247.5</v>
      </c>
      <c r="W50" s="25"/>
      <c r="AQ50" s="78" t="s">
        <v>2233</v>
      </c>
      <c r="AR50" s="25" t="s">
        <v>2271</v>
      </c>
      <c r="AS50" s="25" t="s">
        <v>1795</v>
      </c>
      <c r="AT50" s="339">
        <v>15800</v>
      </c>
      <c r="AU50" s="339">
        <v>11370</v>
      </c>
      <c r="AV50" s="105">
        <v>0.43</v>
      </c>
      <c r="AY50" s="25" t="s">
        <v>2269</v>
      </c>
      <c r="AZ50" s="25" t="s">
        <v>1862</v>
      </c>
      <c r="BA50" s="25" t="s">
        <v>77</v>
      </c>
      <c r="BB50" s="223">
        <v>820</v>
      </c>
      <c r="BC50" s="223">
        <f t="shared" ref="BC50:BC56" si="16">ROUND(BB50*0.72,-1)</f>
        <v>590</v>
      </c>
      <c r="BD50" s="31">
        <v>0</v>
      </c>
      <c r="FG50" s="25" t="s">
        <v>2110</v>
      </c>
      <c r="FH50" s="25" t="s">
        <v>2100</v>
      </c>
      <c r="FI50" s="25" t="s">
        <v>2087</v>
      </c>
      <c r="FL50" s="29">
        <v>0</v>
      </c>
    </row>
    <row r="51" spans="3:168">
      <c r="S51" s="25" t="s">
        <v>2022</v>
      </c>
      <c r="T51" s="25" t="s">
        <v>1988</v>
      </c>
      <c r="U51" s="25" t="s">
        <v>81</v>
      </c>
      <c r="V51" s="25">
        <f t="shared" si="15"/>
        <v>295.89999999999998</v>
      </c>
      <c r="W51" s="25"/>
      <c r="AY51" s="25" t="s">
        <v>2269</v>
      </c>
      <c r="AZ51" s="25" t="s">
        <v>2206</v>
      </c>
      <c r="BA51" s="25" t="s">
        <v>77</v>
      </c>
      <c r="BB51" s="223">
        <v>1280</v>
      </c>
      <c r="BC51" s="223">
        <f t="shared" si="16"/>
        <v>920</v>
      </c>
      <c r="BD51" s="31">
        <v>0</v>
      </c>
    </row>
    <row r="52" spans="3:168">
      <c r="W52" s="43"/>
      <c r="AY52" s="25" t="s">
        <v>2269</v>
      </c>
      <c r="AZ52" s="25" t="s">
        <v>1899</v>
      </c>
      <c r="BA52" s="25" t="s">
        <v>77</v>
      </c>
      <c r="BB52" s="223">
        <v>1680</v>
      </c>
      <c r="BC52" s="223">
        <f t="shared" si="16"/>
        <v>1210</v>
      </c>
      <c r="BD52" s="31">
        <v>0</v>
      </c>
    </row>
    <row r="53" spans="3:168">
      <c r="W53" s="43"/>
      <c r="AY53" s="25" t="s">
        <v>2269</v>
      </c>
      <c r="AZ53" s="25" t="s">
        <v>1916</v>
      </c>
      <c r="BA53" s="25" t="s">
        <v>77</v>
      </c>
      <c r="BB53" s="223">
        <v>2640</v>
      </c>
      <c r="BC53" s="223">
        <f t="shared" si="16"/>
        <v>1900</v>
      </c>
      <c r="BD53" s="31">
        <v>0</v>
      </c>
    </row>
    <row r="54" spans="3:168">
      <c r="W54" s="43"/>
      <c r="AY54" s="25" t="s">
        <v>2269</v>
      </c>
      <c r="AZ54" s="25" t="s">
        <v>1934</v>
      </c>
      <c r="BA54" s="25" t="s">
        <v>77</v>
      </c>
      <c r="BB54" s="223">
        <v>3430</v>
      </c>
      <c r="BC54" s="223">
        <f t="shared" si="16"/>
        <v>2470</v>
      </c>
      <c r="BD54" s="31">
        <v>0</v>
      </c>
    </row>
    <row r="55" spans="3:168">
      <c r="W55" s="43"/>
      <c r="AY55" s="25" t="s">
        <v>2269</v>
      </c>
      <c r="AZ55" s="25" t="s">
        <v>2226</v>
      </c>
      <c r="BA55" s="25" t="s">
        <v>77</v>
      </c>
      <c r="BB55" s="223">
        <v>5800</v>
      </c>
      <c r="BC55" s="223">
        <f t="shared" si="16"/>
        <v>4180</v>
      </c>
      <c r="BD55" s="31">
        <v>0</v>
      </c>
    </row>
    <row r="56" spans="3:168">
      <c r="W56" s="43"/>
      <c r="AY56" s="25" t="s">
        <v>2269</v>
      </c>
      <c r="AZ56" s="25" t="s">
        <v>1970</v>
      </c>
      <c r="BA56" s="25" t="s">
        <v>77</v>
      </c>
      <c r="BB56" s="223">
        <v>11200</v>
      </c>
      <c r="BC56" s="223">
        <f t="shared" si="16"/>
        <v>8060</v>
      </c>
      <c r="BD56" s="31">
        <v>0</v>
      </c>
    </row>
    <row r="57" spans="3:168">
      <c r="W57" s="43"/>
      <c r="AY57" s="78" t="s">
        <v>334</v>
      </c>
      <c r="BB57" s="43"/>
      <c r="BC57" s="43"/>
      <c r="BD57" s="31"/>
    </row>
    <row r="58" spans="3:168">
      <c r="W58" s="43"/>
      <c r="AY58" s="25" t="s">
        <v>2181</v>
      </c>
      <c r="AZ58" s="25" t="s">
        <v>2272</v>
      </c>
      <c r="BA58" s="25" t="s">
        <v>2273</v>
      </c>
      <c r="BB58" s="207">
        <v>70800</v>
      </c>
      <c r="BC58" s="207">
        <v>50976</v>
      </c>
      <c r="BD58" s="31">
        <v>8.4</v>
      </c>
    </row>
    <row r="59" spans="3:168">
      <c r="W59" s="43"/>
      <c r="AY59" s="25" t="s">
        <v>2181</v>
      </c>
      <c r="AZ59" s="25" t="s">
        <v>2274</v>
      </c>
      <c r="BA59" s="25" t="s">
        <v>2273</v>
      </c>
      <c r="BB59" s="207">
        <v>70000</v>
      </c>
      <c r="BC59" s="207">
        <v>50400</v>
      </c>
      <c r="BD59" s="31">
        <v>9</v>
      </c>
    </row>
    <row r="60" spans="3:168">
      <c r="W60" s="43"/>
      <c r="AY60" s="25" t="s">
        <v>2181</v>
      </c>
      <c r="AZ60" s="25" t="s">
        <v>2275</v>
      </c>
      <c r="BA60" s="25" t="s">
        <v>2273</v>
      </c>
      <c r="BB60" s="102">
        <v>57600</v>
      </c>
      <c r="BC60" s="102">
        <v>41480</v>
      </c>
      <c r="BD60" s="31">
        <v>6</v>
      </c>
    </row>
    <row r="61" spans="3:168">
      <c r="W61" s="43"/>
    </row>
    <row r="62" spans="3:168">
      <c r="W62" s="43"/>
    </row>
    <row r="63" spans="3:168">
      <c r="W63" s="43"/>
    </row>
    <row r="64" spans="3:168">
      <c r="W64" s="43"/>
    </row>
    <row r="65" spans="23:23">
      <c r="W65" s="43"/>
    </row>
    <row r="66" spans="23:23">
      <c r="W66" s="43"/>
    </row>
    <row r="67" spans="23:23">
      <c r="W67" s="43"/>
    </row>
    <row r="68" spans="23:23">
      <c r="W68" s="43"/>
    </row>
    <row r="69" spans="23:23">
      <c r="W69" s="43"/>
    </row>
    <row r="70" spans="23:23">
      <c r="W70" s="43"/>
    </row>
    <row r="71" spans="23:23">
      <c r="W71" s="43"/>
    </row>
    <row r="72" spans="23:23">
      <c r="W72" s="43"/>
    </row>
    <row r="73" spans="23:23">
      <c r="W73" s="43"/>
    </row>
    <row r="74" spans="23:23">
      <c r="W74" s="43"/>
    </row>
    <row r="75" spans="23:23">
      <c r="W75" s="43"/>
    </row>
    <row r="76" spans="23:23">
      <c r="W76" s="43"/>
    </row>
    <row r="77" spans="23:23">
      <c r="W77" s="43"/>
    </row>
    <row r="78" spans="23:23">
      <c r="W78" s="43"/>
    </row>
    <row r="79" spans="23:23">
      <c r="W79" s="43"/>
    </row>
    <row r="80" spans="23:23">
      <c r="W80" s="43"/>
    </row>
    <row r="81" spans="23:118">
      <c r="W81" s="43"/>
    </row>
    <row r="82" spans="23:118">
      <c r="W82" s="43"/>
    </row>
    <row r="83" spans="23:118">
      <c r="W83" s="43"/>
    </row>
    <row r="84" spans="23:118">
      <c r="W84" s="43"/>
    </row>
    <row r="85" spans="23:118">
      <c r="W85" s="43"/>
    </row>
    <row r="86" spans="23:118">
      <c r="W86" s="43"/>
    </row>
    <row r="87" spans="23:118">
      <c r="W87" s="43"/>
    </row>
    <row r="88" spans="23:118">
      <c r="W88" s="43"/>
    </row>
    <row r="89" spans="23:118">
      <c r="W89" s="43"/>
    </row>
    <row r="90" spans="23:118">
      <c r="W90" s="43"/>
    </row>
    <row r="91" spans="23:118">
      <c r="W91" s="43"/>
    </row>
    <row r="92" spans="23:118">
      <c r="W92" s="43"/>
    </row>
    <row r="93" spans="23:118">
      <c r="W93" s="43"/>
      <c r="DN93" s="109"/>
    </row>
    <row r="94" spans="23:118">
      <c r="W94" s="43"/>
      <c r="DN94" s="116"/>
    </row>
    <row r="95" spans="23:118">
      <c r="W95" s="43"/>
      <c r="DN95" s="116"/>
    </row>
    <row r="96" spans="23:118">
      <c r="W96" s="43"/>
      <c r="DN96" s="116"/>
    </row>
    <row r="97" spans="14:182">
      <c r="W97" s="43"/>
      <c r="CX97" s="43"/>
      <c r="DN97" s="116"/>
    </row>
    <row r="98" spans="14:182">
      <c r="W98" s="43"/>
      <c r="X98" s="40"/>
      <c r="AL98" s="109"/>
      <c r="AM98" s="109"/>
      <c r="DN98" s="116"/>
    </row>
    <row r="99" spans="14:182">
      <c r="N99" s="43"/>
      <c r="Z99" s="40"/>
      <c r="AD99" s="43"/>
      <c r="AL99" s="109"/>
      <c r="AN99" s="117"/>
      <c r="BZ99" s="43"/>
      <c r="CP99" s="43"/>
      <c r="DN99" s="116"/>
      <c r="ET99" s="43"/>
    </row>
    <row r="100" spans="14:182">
      <c r="AW100" s="29"/>
      <c r="BJ100" s="43"/>
      <c r="BR100" s="43"/>
      <c r="BZ100" s="43"/>
      <c r="DN100" s="116"/>
      <c r="ET100" s="43"/>
      <c r="FJ100" s="43"/>
      <c r="FZ100" s="43"/>
    </row>
    <row r="101" spans="14:182">
      <c r="AW101" s="29"/>
      <c r="BJ101" s="43"/>
      <c r="BZ101" s="43"/>
      <c r="CH101" s="43"/>
      <c r="DF101" s="43"/>
      <c r="DN101" s="116"/>
      <c r="ET101" s="43"/>
      <c r="FJ101" s="43"/>
      <c r="FZ101" s="43"/>
    </row>
    <row r="102" spans="14:182">
      <c r="AW102" s="29"/>
      <c r="BJ102" s="43"/>
      <c r="BZ102" s="43"/>
      <c r="DN102" s="116"/>
      <c r="ET102" s="43"/>
      <c r="FJ102" s="43"/>
      <c r="FZ102" s="43"/>
    </row>
    <row r="103" spans="14:182">
      <c r="AW103" s="29"/>
      <c r="BJ103" s="43"/>
      <c r="BZ103" s="43"/>
      <c r="DN103" s="116"/>
      <c r="ET103" s="43"/>
      <c r="FJ103" s="43"/>
      <c r="FZ103" s="43"/>
    </row>
    <row r="104" spans="14:182">
      <c r="AW104" s="29"/>
      <c r="BJ104" s="43"/>
      <c r="BZ104" s="43"/>
      <c r="DN104" s="116"/>
      <c r="DV104" s="43"/>
      <c r="ED104" s="43"/>
      <c r="EL104" s="43"/>
      <c r="ET104" s="43"/>
      <c r="FJ104" s="43"/>
      <c r="FZ104" s="43"/>
    </row>
    <row r="105" spans="14:182">
      <c r="AW105" s="29"/>
      <c r="BJ105" s="43"/>
      <c r="BZ105" s="43"/>
      <c r="DN105" s="116"/>
      <c r="DV105" s="43"/>
      <c r="ED105" s="43"/>
      <c r="EL105" s="43"/>
      <c r="ET105" s="43"/>
      <c r="FJ105" s="43"/>
      <c r="FZ105" s="43"/>
    </row>
    <row r="106" spans="14:182">
      <c r="AW106" s="29"/>
      <c r="BJ106" s="43"/>
      <c r="BZ106" s="43"/>
      <c r="CM106" s="23"/>
      <c r="DN106" s="116"/>
      <c r="DV106" s="43"/>
      <c r="ED106" s="43"/>
      <c r="EL106" s="43"/>
      <c r="ET106" s="43"/>
      <c r="FB106" s="43"/>
      <c r="FJ106" s="43"/>
      <c r="FZ106" s="43"/>
    </row>
    <row r="107" spans="14:182">
      <c r="AW107" s="29"/>
      <c r="BJ107" s="43"/>
      <c r="BZ107" s="43"/>
      <c r="CU107" s="23"/>
      <c r="DN107" s="116"/>
      <c r="DV107" s="43"/>
      <c r="ED107" s="43"/>
      <c r="EL107" s="43"/>
      <c r="ET107" s="43"/>
      <c r="FB107" s="43"/>
      <c r="FJ107" s="43"/>
      <c r="FZ107" s="43"/>
    </row>
    <row r="108" spans="14:182">
      <c r="AT108" s="109"/>
      <c r="AV108" s="29"/>
      <c r="AW108" s="29"/>
      <c r="BJ108" s="43"/>
      <c r="BZ108" s="43"/>
      <c r="DN108" s="116"/>
      <c r="DV108" s="43"/>
      <c r="ED108" s="43"/>
      <c r="EL108" s="43"/>
      <c r="FJ108" s="43"/>
      <c r="FZ108" s="43"/>
    </row>
    <row r="109" spans="14:182">
      <c r="AT109" s="109"/>
      <c r="AV109" s="29"/>
      <c r="AW109" s="29"/>
      <c r="BJ109" s="43"/>
      <c r="DN109" s="116"/>
      <c r="DV109" s="43"/>
      <c r="ED109" s="43"/>
      <c r="EL109" s="43"/>
      <c r="FB109" s="43"/>
      <c r="FJ109" s="43"/>
      <c r="FZ109" s="43"/>
    </row>
    <row r="110" spans="14:182">
      <c r="AT110" s="109"/>
      <c r="AV110" s="29"/>
      <c r="AW110" s="29"/>
      <c r="BJ110" s="43"/>
      <c r="DC110" s="23"/>
      <c r="DN110" s="116"/>
      <c r="DV110" s="43"/>
      <c r="ED110" s="43"/>
      <c r="EL110" s="43"/>
      <c r="FB110" s="43"/>
      <c r="FJ110" s="43"/>
      <c r="FW110" s="23"/>
    </row>
    <row r="111" spans="14:182">
      <c r="AT111" s="109"/>
      <c r="AV111" s="29"/>
      <c r="AW111" s="29"/>
      <c r="BJ111" s="43"/>
      <c r="DN111" s="116"/>
      <c r="DV111" s="43"/>
      <c r="ED111" s="43"/>
      <c r="EL111" s="43"/>
      <c r="FB111" s="43"/>
      <c r="FJ111" s="43"/>
      <c r="FZ111" s="43"/>
    </row>
    <row r="112" spans="14:182">
      <c r="AT112" s="109"/>
      <c r="AV112" s="29"/>
      <c r="AW112" s="29"/>
      <c r="BJ112" s="43"/>
      <c r="DK112" s="23"/>
      <c r="DS112" s="23"/>
      <c r="EA112" s="23"/>
      <c r="EL112" s="43"/>
      <c r="ET112" s="43"/>
      <c r="FB112" s="43"/>
      <c r="FJ112" s="43"/>
      <c r="FZ112" s="43"/>
    </row>
    <row r="113" spans="43:182">
      <c r="AT113" s="109"/>
      <c r="AV113" s="29"/>
      <c r="AW113" s="29"/>
      <c r="BJ113" s="43"/>
      <c r="DN113" s="116"/>
      <c r="DV113" s="43"/>
      <c r="ED113" s="43"/>
      <c r="EL113" s="43"/>
      <c r="FB113" s="43"/>
      <c r="FJ113" s="43"/>
      <c r="FZ113" s="43"/>
    </row>
    <row r="114" spans="43:182">
      <c r="AT114" s="109"/>
      <c r="AV114" s="29"/>
      <c r="AW114" s="29"/>
      <c r="BG114" s="23"/>
      <c r="DN114" s="116"/>
      <c r="DV114" s="43"/>
      <c r="ED114" s="43"/>
      <c r="EL114" s="43"/>
      <c r="FB114" s="43"/>
      <c r="FG114" s="23"/>
      <c r="FZ114" s="43"/>
    </row>
    <row r="115" spans="43:182">
      <c r="AT115" s="109"/>
      <c r="AV115" s="29"/>
      <c r="AW115" s="29"/>
      <c r="BJ115" s="43"/>
      <c r="DN115" s="116"/>
      <c r="DV115" s="43"/>
      <c r="ED115" s="43"/>
      <c r="EL115" s="43"/>
      <c r="FJ115" s="43"/>
      <c r="FZ115" s="43"/>
    </row>
    <row r="116" spans="43:182">
      <c r="AT116" s="109"/>
      <c r="AV116" s="29"/>
      <c r="AW116" s="29"/>
      <c r="BB116" s="43"/>
      <c r="BJ116" s="43"/>
      <c r="CU116" s="23"/>
      <c r="DN116" s="116"/>
      <c r="DV116" s="43"/>
      <c r="ED116" s="43"/>
      <c r="EL116" s="43"/>
      <c r="FJ116" s="43"/>
      <c r="FZ116" s="43"/>
    </row>
    <row r="117" spans="43:182">
      <c r="AT117" s="109"/>
      <c r="AV117" s="29"/>
      <c r="AW117" s="29"/>
      <c r="BB117" s="43"/>
      <c r="BJ117" s="43"/>
      <c r="DN117" s="116"/>
      <c r="DV117" s="43"/>
      <c r="ED117" s="43"/>
      <c r="EL117" s="43"/>
      <c r="FJ117" s="43"/>
      <c r="FZ117" s="43"/>
    </row>
    <row r="118" spans="43:182">
      <c r="AT118" s="109"/>
      <c r="AV118" s="29"/>
      <c r="AW118" s="29"/>
      <c r="BB118" s="43"/>
      <c r="BJ118" s="43"/>
      <c r="DN118" s="116"/>
      <c r="DV118" s="43"/>
      <c r="ED118" s="43"/>
      <c r="EL118" s="43"/>
      <c r="FJ118" s="43"/>
      <c r="FZ118" s="43"/>
    </row>
    <row r="119" spans="43:182">
      <c r="AT119" s="109"/>
      <c r="AV119" s="29"/>
      <c r="AW119" s="29"/>
      <c r="BB119" s="43"/>
      <c r="BJ119" s="43"/>
      <c r="DN119" s="116"/>
      <c r="DV119" s="43"/>
      <c r="ED119" s="43"/>
      <c r="EL119" s="43"/>
      <c r="FJ119" s="43"/>
      <c r="FW119" s="23"/>
    </row>
    <row r="120" spans="43:182">
      <c r="AQ120" s="23"/>
      <c r="AV120" s="29"/>
      <c r="AW120" s="29"/>
      <c r="BB120" s="43"/>
      <c r="BJ120" s="43"/>
      <c r="DN120" s="116"/>
      <c r="DV120" s="43"/>
      <c r="ED120" s="43"/>
      <c r="EL120" s="43"/>
      <c r="FJ120" s="43"/>
      <c r="FZ120" s="43"/>
    </row>
    <row r="121" spans="43:182">
      <c r="AT121" s="109"/>
      <c r="AV121" s="29"/>
      <c r="AW121" s="29"/>
      <c r="BB121" s="43"/>
      <c r="BJ121" s="43"/>
      <c r="DK121" s="23"/>
      <c r="DV121" s="43"/>
      <c r="ED121" s="43"/>
      <c r="EL121" s="43"/>
      <c r="FJ121" s="43"/>
      <c r="FZ121" s="43"/>
    </row>
    <row r="122" spans="43:182">
      <c r="AT122" s="109"/>
      <c r="AV122" s="29"/>
      <c r="AW122" s="29"/>
      <c r="BB122" s="43"/>
      <c r="BJ122" s="43"/>
      <c r="DL122" s="118"/>
      <c r="DN122" s="119"/>
      <c r="DV122" s="43"/>
      <c r="ED122" s="43"/>
      <c r="EL122" s="43"/>
      <c r="FJ122" s="43"/>
      <c r="FZ122" s="43"/>
    </row>
    <row r="123" spans="43:182">
      <c r="AT123" s="109"/>
      <c r="AV123" s="29"/>
      <c r="AW123" s="29"/>
      <c r="BB123" s="43"/>
      <c r="DL123" s="118"/>
      <c r="DN123" s="119"/>
      <c r="DV123" s="43"/>
      <c r="ED123" s="43"/>
      <c r="EL123" s="43"/>
      <c r="FJ123" s="43"/>
    </row>
    <row r="124" spans="43:182">
      <c r="AT124" s="109"/>
      <c r="AV124" s="29"/>
      <c r="BB124" s="43"/>
      <c r="DL124" s="118"/>
      <c r="DN124" s="119"/>
      <c r="DV124" s="43"/>
      <c r="ED124" s="43"/>
      <c r="EL124" s="43"/>
      <c r="FJ124" s="43"/>
    </row>
    <row r="125" spans="43:182">
      <c r="AT125" s="109"/>
      <c r="AV125" s="29"/>
      <c r="AY125" s="23"/>
      <c r="DL125" s="118"/>
      <c r="DN125" s="119"/>
      <c r="DS125" s="23"/>
      <c r="ED125" s="43"/>
      <c r="EL125" s="43"/>
      <c r="FJ125" s="43"/>
    </row>
    <row r="126" spans="43:182">
      <c r="AT126" s="109"/>
      <c r="AV126" s="29"/>
      <c r="DL126" s="118"/>
      <c r="DN126" s="119"/>
      <c r="DV126" s="43"/>
      <c r="ED126" s="43"/>
      <c r="EL126" s="43"/>
      <c r="FJ126" s="43"/>
    </row>
    <row r="127" spans="43:182">
      <c r="AT127" s="109"/>
      <c r="AV127" s="29"/>
      <c r="DL127" s="118"/>
      <c r="DN127" s="119"/>
      <c r="DV127" s="43"/>
      <c r="ED127" s="43"/>
      <c r="EL127" s="43"/>
      <c r="FJ127" s="43"/>
    </row>
    <row r="128" spans="43:182">
      <c r="AT128" s="109"/>
      <c r="AV128" s="29"/>
      <c r="DL128" s="118"/>
      <c r="DN128" s="119"/>
      <c r="DV128" s="43"/>
      <c r="ED128" s="43"/>
      <c r="EL128" s="43"/>
      <c r="FJ128" s="43"/>
    </row>
    <row r="129" spans="17:166">
      <c r="AT129" s="109"/>
      <c r="AV129" s="29"/>
      <c r="DV129" s="43"/>
      <c r="ED129" s="43"/>
      <c r="EL129" s="43"/>
      <c r="FG129" s="23"/>
    </row>
    <row r="130" spans="17:166">
      <c r="AT130" s="109"/>
      <c r="AV130" s="29"/>
      <c r="DV130" s="43"/>
      <c r="ED130" s="43"/>
      <c r="FJ130" s="43"/>
    </row>
    <row r="131" spans="17:166">
      <c r="AT131" s="109"/>
      <c r="AV131" s="29"/>
      <c r="DV131" s="43"/>
      <c r="ED131" s="43"/>
      <c r="FJ131" s="43"/>
    </row>
    <row r="132" spans="17:166">
      <c r="AT132" s="109"/>
      <c r="AV132" s="29"/>
      <c r="DV132" s="43"/>
      <c r="ED132" s="43"/>
      <c r="FJ132" s="43"/>
    </row>
    <row r="133" spans="17:166">
      <c r="AQ133" s="23"/>
      <c r="AV133" s="29"/>
      <c r="DV133" s="43"/>
      <c r="ED133" s="43"/>
      <c r="FJ133" s="43"/>
    </row>
    <row r="134" spans="17:166">
      <c r="AT134" s="109"/>
      <c r="AV134" s="29"/>
      <c r="DV134" s="43"/>
      <c r="ED134" s="43"/>
      <c r="FJ134" s="43"/>
    </row>
    <row r="135" spans="17:166">
      <c r="AT135" s="109"/>
      <c r="AV135" s="29"/>
      <c r="DS135" s="23"/>
      <c r="FJ135" s="43"/>
    </row>
    <row r="136" spans="17:166">
      <c r="AT136" s="109"/>
      <c r="AV136" s="29"/>
      <c r="AY136" s="23"/>
      <c r="DT136" s="120"/>
      <c r="DV136" s="121"/>
      <c r="FJ136" s="43"/>
    </row>
    <row r="137" spans="17:166">
      <c r="AV137" s="29"/>
      <c r="DT137" s="120"/>
      <c r="DV137" s="121"/>
      <c r="FJ137" s="43"/>
    </row>
    <row r="138" spans="17:166">
      <c r="AV138" s="29"/>
      <c r="DT138" s="120"/>
      <c r="DV138" s="121"/>
      <c r="FJ138" s="43"/>
    </row>
    <row r="139" spans="17:166">
      <c r="DT139" s="120"/>
      <c r="DV139" s="121"/>
      <c r="FJ139" s="43"/>
    </row>
    <row r="140" spans="17:166">
      <c r="DT140" s="120"/>
      <c r="DV140" s="121"/>
      <c r="FJ140" s="43"/>
    </row>
    <row r="141" spans="17:166">
      <c r="DT141" s="120"/>
      <c r="DV141" s="121"/>
      <c r="FJ141" s="43"/>
    </row>
    <row r="142" spans="17:166">
      <c r="DT142" s="120"/>
      <c r="DV142" s="121"/>
      <c r="FJ142" s="43"/>
    </row>
    <row r="143" spans="17:166">
      <c r="DT143" s="120"/>
      <c r="DV143" s="121"/>
      <c r="FJ143" s="43"/>
    </row>
    <row r="144" spans="17:166">
      <c r="Q144" s="29"/>
      <c r="DT144" s="120"/>
      <c r="DV144" s="121"/>
      <c r="FG144" s="23"/>
    </row>
    <row r="145" spans="17:126">
      <c r="Q145" s="29"/>
      <c r="AY145" s="23"/>
      <c r="DT145" s="120"/>
      <c r="DV145" s="121"/>
    </row>
    <row r="146" spans="17:126">
      <c r="Q146" s="29"/>
      <c r="DT146" s="122"/>
    </row>
    <row r="147" spans="17:126">
      <c r="Q147" s="29"/>
    </row>
    <row r="148" spans="17:126">
      <c r="Q148" s="29"/>
    </row>
    <row r="149" spans="17:126">
      <c r="Q149" s="29"/>
    </row>
    <row r="150" spans="17:126">
      <c r="Q150" s="29"/>
    </row>
    <row r="151" spans="17:126">
      <c r="Q151" s="29"/>
    </row>
    <row r="152" spans="17:126">
      <c r="Q152" s="29"/>
    </row>
    <row r="153" spans="17:126">
      <c r="Q153" s="29"/>
    </row>
    <row r="154" spans="17:126">
      <c r="Q154" s="29"/>
      <c r="AY154" s="23"/>
    </row>
    <row r="155" spans="17:126">
      <c r="Q155" s="29"/>
    </row>
    <row r="156" spans="17:126">
      <c r="Q156" s="29"/>
    </row>
    <row r="157" spans="17:126">
      <c r="Q157" s="29"/>
    </row>
    <row r="158" spans="17:126">
      <c r="Q158" s="29"/>
    </row>
    <row r="159" spans="17:126">
      <c r="Q159" s="29"/>
    </row>
    <row r="160" spans="17:126">
      <c r="Q160" s="29"/>
    </row>
    <row r="161" spans="17:17">
      <c r="Q161" s="29"/>
    </row>
    <row r="162" spans="17:17">
      <c r="Q162" s="29"/>
    </row>
    <row r="163" spans="17:17">
      <c r="Q163" s="29"/>
    </row>
  </sheetData>
  <phoneticPr fontId="2"/>
  <pageMargins left="0.78740157480314965" right="0.78740157480314965" top="0.98425196850393704" bottom="0.98425196850393704" header="0.51181102362204722" footer="0.51181102362204722"/>
  <pageSetup paperSize="8" scale="10" orientation="landscape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U232"/>
  <sheetViews>
    <sheetView topLeftCell="A52" zoomScale="106" zoomScaleNormal="106" workbookViewId="0">
      <selection activeCell="W37" sqref="W37"/>
    </sheetView>
  </sheetViews>
  <sheetFormatPr defaultColWidth="9" defaultRowHeight="11.25"/>
  <cols>
    <col min="1" max="1" width="18.7109375" style="25" customWidth="1"/>
    <col min="2" max="2" width="5.42578125" style="25" customWidth="1"/>
    <col min="3" max="3" width="3" style="25" customWidth="1"/>
    <col min="4" max="4" width="5.5703125" style="25" customWidth="1"/>
    <col min="5" max="5" width="28.42578125" style="25" bestFit="1" customWidth="1"/>
    <col min="6" max="6" width="3" style="25" bestFit="1" customWidth="1"/>
    <col min="7" max="7" width="4.42578125" style="25" bestFit="1" customWidth="1"/>
    <col min="8" max="9" width="7.7109375" style="28" bestFit="1" customWidth="1"/>
    <col min="10" max="10" width="5.28515625" style="29" bestFit="1" customWidth="1"/>
    <col min="11" max="11" width="4.42578125" style="25" bestFit="1" customWidth="1"/>
    <col min="12" max="13" width="5.5703125" style="25" customWidth="1"/>
    <col min="14" max="14" width="30.42578125" style="25" bestFit="1" customWidth="1"/>
    <col min="15" max="15" width="3" style="25" bestFit="1" customWidth="1"/>
    <col min="16" max="16" width="4.42578125" style="25" bestFit="1" customWidth="1"/>
    <col min="17" max="17" width="7.7109375" style="28" bestFit="1" customWidth="1"/>
    <col min="18" max="18" width="6.7109375" style="28" bestFit="1" customWidth="1"/>
    <col min="19" max="19" width="5.28515625" style="29" bestFit="1" customWidth="1"/>
    <col min="20" max="20" width="4.42578125" style="25" bestFit="1" customWidth="1"/>
    <col min="21" max="22" width="5.5703125" style="25" customWidth="1"/>
    <col min="23" max="23" width="30.42578125" style="25" bestFit="1" customWidth="1"/>
    <col min="24" max="24" width="2.28515625" style="25" bestFit="1" customWidth="1"/>
    <col min="25" max="25" width="4.42578125" style="25" bestFit="1" customWidth="1"/>
    <col min="26" max="26" width="7.7109375" style="28" bestFit="1" customWidth="1"/>
    <col min="27" max="27" width="6.7109375" style="28" bestFit="1" customWidth="1"/>
    <col min="28" max="28" width="5.28515625" style="29" bestFit="1" customWidth="1"/>
    <col min="29" max="29" width="4.42578125" style="25" bestFit="1" customWidth="1"/>
    <col min="30" max="30" width="5.5703125" style="25" customWidth="1"/>
    <col min="31" max="31" width="27.28515625" style="25" bestFit="1" customWidth="1"/>
    <col min="32" max="32" width="3" style="25" bestFit="1" customWidth="1"/>
    <col min="33" max="33" width="4.42578125" style="25" bestFit="1" customWidth="1"/>
    <col min="34" max="35" width="7.7109375" style="28" bestFit="1" customWidth="1"/>
    <col min="36" max="36" width="4.42578125" style="29" bestFit="1" customWidth="1"/>
    <col min="37" max="37" width="4.42578125" style="25" bestFit="1" customWidth="1"/>
    <col min="38" max="39" width="5.5703125" style="25" customWidth="1"/>
    <col min="40" max="40" width="34.42578125" style="25" bestFit="1" customWidth="1"/>
    <col min="41" max="41" width="2.28515625" style="25" bestFit="1" customWidth="1"/>
    <col min="42" max="42" width="3" style="25" bestFit="1" customWidth="1"/>
    <col min="43" max="43" width="9.28515625" style="28" bestFit="1" customWidth="1"/>
    <col min="44" max="44" width="10.42578125" style="28" customWidth="1"/>
    <col min="45" max="45" width="4.42578125" style="29" bestFit="1" customWidth="1"/>
    <col min="46" max="46" width="3.7109375" style="25" bestFit="1" customWidth="1"/>
    <col min="47" max="47" width="3.28515625" style="25" bestFit="1" customWidth="1"/>
    <col min="48" max="48" width="5.5703125" style="25" customWidth="1"/>
    <col min="49" max="49" width="26.5703125" style="25" bestFit="1" customWidth="1"/>
    <col min="50" max="50" width="3" style="25" bestFit="1" customWidth="1"/>
    <col min="51" max="51" width="4" style="25" bestFit="1" customWidth="1"/>
    <col min="52" max="53" width="8" style="28" bestFit="1" customWidth="1"/>
    <col min="54" max="54" width="5.28515625" style="29" bestFit="1" customWidth="1"/>
    <col min="55" max="55" width="4.42578125" style="25" bestFit="1" customWidth="1"/>
    <col min="56" max="57" width="5.5703125" style="25" customWidth="1"/>
    <col min="58" max="58" width="27.85546875" style="25" bestFit="1" customWidth="1"/>
    <col min="59" max="59" width="3" style="25" bestFit="1" customWidth="1"/>
    <col min="60" max="60" width="4.42578125" style="25" bestFit="1" customWidth="1"/>
    <col min="61" max="61" width="7.7109375" style="28" bestFit="1" customWidth="1"/>
    <col min="62" max="62" width="6.7109375" style="28" bestFit="1" customWidth="1"/>
    <col min="63" max="63" width="5.28515625" style="29" bestFit="1" customWidth="1"/>
    <col min="64" max="64" width="4.42578125" style="25" bestFit="1" customWidth="1"/>
    <col min="65" max="66" width="5.5703125" style="25" customWidth="1"/>
    <col min="67" max="67" width="37" style="25" bestFit="1" customWidth="1"/>
    <col min="68" max="68" width="3" style="25" bestFit="1" customWidth="1"/>
    <col min="69" max="69" width="4" style="27" bestFit="1" customWidth="1"/>
    <col min="70" max="71" width="7.7109375" style="28" bestFit="1" customWidth="1"/>
    <col min="72" max="72" width="5.28515625" style="25" bestFit="1" customWidth="1"/>
    <col min="73" max="73" width="4.42578125" style="25" bestFit="1" customWidth="1"/>
    <col min="74" max="16384" width="9" style="25"/>
  </cols>
  <sheetData>
    <row r="1" spans="1:73">
      <c r="BQ1" s="25"/>
      <c r="BT1" s="29"/>
    </row>
    <row r="2" spans="1:73">
      <c r="A2" s="25" t="s">
        <v>2276</v>
      </c>
      <c r="E2" s="51" t="s">
        <v>321</v>
      </c>
      <c r="N2" s="51" t="s">
        <v>249</v>
      </c>
      <c r="W2" s="51" t="s">
        <v>317</v>
      </c>
      <c r="AE2" s="51" t="s">
        <v>382</v>
      </c>
      <c r="AN2" s="51" t="s">
        <v>2277</v>
      </c>
      <c r="AW2" s="51" t="s">
        <v>518</v>
      </c>
      <c r="BF2" s="143" t="s">
        <v>2278</v>
      </c>
      <c r="BG2" s="108"/>
      <c r="BH2" s="108"/>
      <c r="BI2" s="144"/>
      <c r="BJ2" s="144"/>
      <c r="BK2" s="145"/>
      <c r="BL2" s="108"/>
      <c r="BO2" s="51" t="s">
        <v>909</v>
      </c>
      <c r="BQ2" s="25"/>
      <c r="BT2" s="29"/>
    </row>
    <row r="3" spans="1:73">
      <c r="A3" s="25" t="s">
        <v>2279</v>
      </c>
      <c r="E3" s="146" t="str">
        <f>CONCATENATE("○",機器表!AB4,"　",機器表!AC4)</f>
        <v>○ｼｮｳｵﾝﾎﾞｲﾗ　SHB-310TK</v>
      </c>
      <c r="F3" s="108">
        <v>1</v>
      </c>
      <c r="G3" s="147" t="str">
        <f>機器表!AD4</f>
        <v>台</v>
      </c>
      <c r="H3" s="202">
        <f>機器表!AE4</f>
        <v>515000</v>
      </c>
      <c r="I3" s="202">
        <f>機器表!AF4</f>
        <v>232880</v>
      </c>
      <c r="J3" s="56">
        <f>機器表!AG4</f>
        <v>1</v>
      </c>
      <c r="K3" s="108" t="s">
        <v>2280</v>
      </c>
      <c r="N3" s="234" t="s">
        <v>2281</v>
      </c>
      <c r="O3" s="108">
        <v>1</v>
      </c>
      <c r="P3" s="147" t="str">
        <f>機器表!N3</f>
        <v>台</v>
      </c>
      <c r="Q3" s="36">
        <f>機器表!O3</f>
        <v>909000</v>
      </c>
      <c r="R3" s="36">
        <f>機器表!P3</f>
        <v>470450</v>
      </c>
      <c r="S3" s="56">
        <f>機器表!Q3</f>
        <v>1.25</v>
      </c>
      <c r="T3" s="108" t="s">
        <v>2280</v>
      </c>
      <c r="W3" s="234" t="s">
        <v>2282</v>
      </c>
      <c r="X3" s="108">
        <v>1</v>
      </c>
      <c r="Y3" s="203" t="str">
        <f>機器表!N4</f>
        <v>台</v>
      </c>
      <c r="Z3" s="202">
        <f>機器表!O4</f>
        <v>925000</v>
      </c>
      <c r="AA3" s="202">
        <f>機器表!P4</f>
        <v>481600</v>
      </c>
      <c r="AB3" s="204">
        <f>機器表!Q4</f>
        <v>1.25</v>
      </c>
      <c r="AC3" s="108" t="s">
        <v>2280</v>
      </c>
      <c r="AE3" s="108" t="s">
        <v>2283</v>
      </c>
      <c r="AF3" s="108">
        <v>1</v>
      </c>
      <c r="AG3" s="39" t="str">
        <f>機器表!ED5</f>
        <v>基</v>
      </c>
      <c r="AH3" s="37">
        <f>機器表!EE5</f>
        <v>119900</v>
      </c>
      <c r="AI3" s="37">
        <f>機器表!EF5</f>
        <v>52990</v>
      </c>
      <c r="AJ3" s="57">
        <f>機器表!EG5</f>
        <v>0.3</v>
      </c>
      <c r="AK3" s="108" t="s">
        <v>2280</v>
      </c>
      <c r="AN3" s="25" t="s">
        <v>2284</v>
      </c>
      <c r="AO3" s="25">
        <v>1</v>
      </c>
      <c r="AP3" s="39" t="str">
        <f>機器表!DF3</f>
        <v>ｾｯﾄ</v>
      </c>
      <c r="AQ3" s="37">
        <f>機器表!DG3</f>
        <v>1573000</v>
      </c>
      <c r="AR3" s="37">
        <f>機器表!DH3</f>
        <v>822710</v>
      </c>
      <c r="AS3" s="57">
        <f>機器表!DI3</f>
        <v>2.9</v>
      </c>
      <c r="AT3" s="25" t="s">
        <v>2280</v>
      </c>
      <c r="AW3" s="108" t="s">
        <v>2285</v>
      </c>
      <c r="AX3" s="108">
        <v>1</v>
      </c>
      <c r="AY3" s="203" t="str">
        <f>機器表!V9</f>
        <v>台</v>
      </c>
      <c r="AZ3" s="202">
        <f>機器表!W9</f>
        <v>389000</v>
      </c>
      <c r="BA3" s="202">
        <f>機器表!X9</f>
        <v>170820</v>
      </c>
      <c r="BB3" s="204">
        <f>機器表!Y9</f>
        <v>0.52</v>
      </c>
      <c r="BC3" s="108" t="s">
        <v>2280</v>
      </c>
      <c r="BF3" s="108" t="s">
        <v>2286</v>
      </c>
      <c r="BG3" s="108">
        <v>60</v>
      </c>
      <c r="BH3" s="108" t="s">
        <v>1821</v>
      </c>
      <c r="BI3" s="144">
        <f>機器表!BS34</f>
        <v>77000</v>
      </c>
      <c r="BJ3" s="144">
        <f>機器表!BT34</f>
        <v>30900</v>
      </c>
      <c r="BK3" s="145">
        <v>0.36</v>
      </c>
      <c r="BL3" s="108" t="s">
        <v>2280</v>
      </c>
      <c r="BO3" s="26" t="s">
        <v>2287</v>
      </c>
      <c r="BP3" s="25">
        <v>1</v>
      </c>
      <c r="BQ3" s="203" t="str">
        <f>機器表!V21</f>
        <v>台</v>
      </c>
      <c r="BR3" s="202">
        <f>機器表!W21</f>
        <v>344000</v>
      </c>
      <c r="BS3" s="202">
        <f>機器表!X21</f>
        <v>168500</v>
      </c>
      <c r="BT3" s="204">
        <f>機器表!Y21</f>
        <v>0.5</v>
      </c>
      <c r="BU3" s="25" t="s">
        <v>2280</v>
      </c>
    </row>
    <row r="4" spans="1:73">
      <c r="A4" s="25" t="s">
        <v>321</v>
      </c>
      <c r="B4" s="25" t="s">
        <v>2288</v>
      </c>
      <c r="C4" s="25">
        <v>1</v>
      </c>
      <c r="E4" s="108" t="s">
        <v>2289</v>
      </c>
      <c r="F4" s="108">
        <v>1</v>
      </c>
      <c r="G4" s="108" t="s">
        <v>2290</v>
      </c>
      <c r="H4" s="148">
        <f>ROUND(項目表!$E$3*標準項!K4,-3)</f>
        <v>48000</v>
      </c>
      <c r="I4" s="148">
        <f>ROUND(項目表!$F$3*標準項!K4,-3)</f>
        <v>29000</v>
      </c>
      <c r="J4" s="145"/>
      <c r="K4" s="149">
        <v>1</v>
      </c>
      <c r="N4" s="108" t="s">
        <v>2289</v>
      </c>
      <c r="O4" s="108">
        <v>1</v>
      </c>
      <c r="P4" s="108" t="s">
        <v>2290</v>
      </c>
      <c r="Q4" s="148">
        <f>ROUND(項目表!$E$3*標準項!T4,-3)</f>
        <v>59000</v>
      </c>
      <c r="R4" s="148">
        <f>ROUND(項目表!$F$3*標準項!T4,-3)</f>
        <v>37000</v>
      </c>
      <c r="S4" s="145"/>
      <c r="T4" s="149">
        <v>1.25</v>
      </c>
      <c r="W4" s="108" t="s">
        <v>2289</v>
      </c>
      <c r="X4" s="108">
        <v>1</v>
      </c>
      <c r="Y4" s="108" t="s">
        <v>2290</v>
      </c>
      <c r="Z4" s="148">
        <f>ROUND(項目表!$E$3*標準項!AC4,-3)</f>
        <v>59000</v>
      </c>
      <c r="AA4" s="148">
        <f>ROUND(項目表!$F$3*標準項!AC4,-3)</f>
        <v>37000</v>
      </c>
      <c r="AB4" s="145"/>
      <c r="AC4" s="149">
        <v>1.25</v>
      </c>
      <c r="AE4" s="108" t="s">
        <v>2291</v>
      </c>
      <c r="AF4" s="108">
        <v>1</v>
      </c>
      <c r="AG4" s="108" t="s">
        <v>2290</v>
      </c>
      <c r="AH4" s="148">
        <f>ROUND(項目表!$E$3*標準項!AK4,-3)</f>
        <v>14000</v>
      </c>
      <c r="AI4" s="148">
        <f>ROUND(項目表!$F$3*標準項!AK4,-3)</f>
        <v>9000</v>
      </c>
      <c r="AJ4" s="145"/>
      <c r="AK4" s="149">
        <v>0.3</v>
      </c>
      <c r="AN4" s="25" t="s">
        <v>2292</v>
      </c>
      <c r="AS4" s="29">
        <v>0</v>
      </c>
      <c r="AW4" s="108" t="s">
        <v>2289</v>
      </c>
      <c r="AX4" s="108">
        <v>1</v>
      </c>
      <c r="AY4" s="108" t="s">
        <v>2290</v>
      </c>
      <c r="AZ4" s="148">
        <f>ROUND(項目表!$E$3*標準項!BC4,-3)</f>
        <v>25000</v>
      </c>
      <c r="BA4" s="148">
        <f>ROUND(項目表!$F$3*標準項!BC4,-3)</f>
        <v>15000</v>
      </c>
      <c r="BB4" s="145"/>
      <c r="BC4" s="149">
        <v>0.52</v>
      </c>
      <c r="BF4" s="108" t="s">
        <v>2293</v>
      </c>
      <c r="BG4" s="108">
        <v>8</v>
      </c>
      <c r="BH4" s="108" t="s">
        <v>1821</v>
      </c>
      <c r="BI4" s="144">
        <f>機器表!BS36</f>
        <v>69000</v>
      </c>
      <c r="BJ4" s="144">
        <f>機器表!BT36</f>
        <v>27600</v>
      </c>
      <c r="BK4" s="145">
        <v>0.2</v>
      </c>
      <c r="BL4" s="108" t="s">
        <v>2280</v>
      </c>
      <c r="BO4" s="26" t="s">
        <v>2289</v>
      </c>
      <c r="BP4" s="25">
        <v>1</v>
      </c>
      <c r="BQ4" s="25" t="s">
        <v>2290</v>
      </c>
      <c r="BR4" s="73">
        <f>ROUND(項目表!$E$3*標準項!BU4,-3)</f>
        <v>24000</v>
      </c>
      <c r="BS4" s="73">
        <f>ROUND(項目表!$F$3*標準項!BU4,-3)</f>
        <v>15000</v>
      </c>
      <c r="BT4" s="29"/>
      <c r="BU4" s="95">
        <v>0.5</v>
      </c>
    </row>
    <row r="5" spans="1:73">
      <c r="A5" s="25" t="s">
        <v>445</v>
      </c>
      <c r="B5" s="25" t="s">
        <v>2294</v>
      </c>
      <c r="C5" s="25">
        <f t="shared" ref="C5:C22" si="0">C4+1</f>
        <v>2</v>
      </c>
      <c r="E5" s="39" t="str">
        <f>CONCATENATE("③",電材表!Q18,"　",電材表!R18)</f>
        <v>③感震器　BES-100</v>
      </c>
      <c r="F5" s="108">
        <v>1</v>
      </c>
      <c r="G5" s="151" t="str">
        <f>電材表!S18</f>
        <v>個</v>
      </c>
      <c r="H5" s="37">
        <f>電材表!T18</f>
        <v>20100</v>
      </c>
      <c r="I5" s="37">
        <f>電材表!U18</f>
        <v>5580</v>
      </c>
      <c r="J5" s="57">
        <f>電材表!V18</f>
        <v>0</v>
      </c>
      <c r="K5" s="25" t="s">
        <v>2295</v>
      </c>
      <c r="N5" s="39" t="str">
        <f>CONCATENATE("③",電材表!Q18,"　",電材表!R18)</f>
        <v>③感震器　BES-100</v>
      </c>
      <c r="O5" s="108">
        <v>1</v>
      </c>
      <c r="P5" s="146" t="str">
        <f>電材表!S18</f>
        <v>個</v>
      </c>
      <c r="Q5" s="37">
        <f>電材表!T18</f>
        <v>20100</v>
      </c>
      <c r="R5" s="37">
        <f>電材表!U18</f>
        <v>5580</v>
      </c>
      <c r="S5" s="57">
        <f>電材表!V18</f>
        <v>0</v>
      </c>
      <c r="T5" s="25" t="s">
        <v>2296</v>
      </c>
      <c r="W5" s="39" t="str">
        <f>CONCATENATE("③",電材表!Q18,"　",電材表!R18)</f>
        <v>③感震器　BES-100</v>
      </c>
      <c r="X5" s="108">
        <v>1</v>
      </c>
      <c r="Y5" s="146" t="str">
        <f>電材表!S18</f>
        <v>個</v>
      </c>
      <c r="Z5" s="37">
        <f>電材表!T18</f>
        <v>20100</v>
      </c>
      <c r="AA5" s="37">
        <f>電材表!U18</f>
        <v>5580</v>
      </c>
      <c r="AB5" s="57">
        <f>電材表!V18</f>
        <v>0</v>
      </c>
      <c r="AC5" s="25" t="s">
        <v>2296</v>
      </c>
      <c r="AE5" s="108" t="s">
        <v>2289</v>
      </c>
      <c r="AF5" s="108">
        <v>1</v>
      </c>
      <c r="AG5" s="108" t="s">
        <v>2290</v>
      </c>
      <c r="AH5" s="148">
        <f>ROUND(項目表!$E$3*標準項!AK5,-3)</f>
        <v>14000</v>
      </c>
      <c r="AI5" s="148">
        <f>ROUND(項目表!$F$3*標準項!AK5,-3)</f>
        <v>9000</v>
      </c>
      <c r="AJ5" s="145"/>
      <c r="AK5" s="149">
        <v>0.3</v>
      </c>
      <c r="AN5" s="108" t="s">
        <v>2297</v>
      </c>
      <c r="AS5" s="29">
        <v>0</v>
      </c>
      <c r="AW5" s="39" t="str">
        <f>CONCATENATE("③",電材表!Q18,"　",電材表!R18)</f>
        <v>③感震器　BES-100</v>
      </c>
      <c r="AX5" s="108">
        <v>1</v>
      </c>
      <c r="AY5" s="146" t="str">
        <f>電材表!S18</f>
        <v>個</v>
      </c>
      <c r="AZ5" s="152">
        <f>電材表!T18</f>
        <v>20100</v>
      </c>
      <c r="BA5" s="152">
        <f>電材表!U18</f>
        <v>5580</v>
      </c>
      <c r="BB5" s="151">
        <f>電材表!V18</f>
        <v>0</v>
      </c>
      <c r="BC5" s="25" t="s">
        <v>2296</v>
      </c>
      <c r="BF5" s="108" t="s">
        <v>2298</v>
      </c>
      <c r="BG5" s="108">
        <v>1</v>
      </c>
      <c r="BH5" s="108" t="s">
        <v>2299</v>
      </c>
      <c r="BI5" s="144">
        <f>ROUND(項目表!$E$3*BL5,-3)</f>
        <v>265000</v>
      </c>
      <c r="BJ5" s="144">
        <f>ROUND(項目表!$F$3*BL5,-3)</f>
        <v>164000</v>
      </c>
      <c r="BK5" s="145"/>
      <c r="BL5" s="108">
        <v>5.57</v>
      </c>
      <c r="BO5" s="58" t="str">
        <f>CONCATENATE("③",電材表!Q10,"           ",電材表!R10)</f>
        <v>③CO2ｺﾝﾄﾛｰﾗ           CGC-600SET14</v>
      </c>
      <c r="BP5" s="25">
        <v>1</v>
      </c>
      <c r="BQ5" s="39" t="str">
        <f>電材表!S10</f>
        <v>台</v>
      </c>
      <c r="BR5" s="37">
        <f>電材表!T10</f>
        <v>155000</v>
      </c>
      <c r="BS5" s="37">
        <f>電材表!U10</f>
        <v>89490</v>
      </c>
      <c r="BT5" s="57">
        <f>電材表!V11</f>
        <v>0</v>
      </c>
      <c r="BU5" s="25" t="s">
        <v>2296</v>
      </c>
    </row>
    <row r="6" spans="1:73">
      <c r="A6" s="25" t="s">
        <v>2300</v>
      </c>
      <c r="B6" s="25" t="s">
        <v>2301</v>
      </c>
      <c r="C6" s="25">
        <f t="shared" si="0"/>
        <v>3</v>
      </c>
      <c r="E6" s="146" t="str">
        <f>CONCATENATE("○",機器表!EJ6,"　",機器表!EK6)</f>
        <v xml:space="preserve">○煙突ｾｯﾄ　BEP-HB1201     </v>
      </c>
      <c r="F6" s="108">
        <v>1</v>
      </c>
      <c r="G6" s="39" t="str">
        <f>機器表!EL6</f>
        <v>ｾｯﾄ</v>
      </c>
      <c r="H6" s="37">
        <f>機器表!EM6</f>
        <v>65700</v>
      </c>
      <c r="I6" s="37">
        <f>機器表!EN6</f>
        <v>23160</v>
      </c>
      <c r="J6" s="57">
        <f>機器表!EO6</f>
        <v>0.5</v>
      </c>
      <c r="K6" s="108" t="s">
        <v>2280</v>
      </c>
      <c r="N6" s="234" t="s">
        <v>2302</v>
      </c>
      <c r="O6" s="108">
        <v>1</v>
      </c>
      <c r="P6" s="39" t="str">
        <f>機器表!EL15</f>
        <v>ｾｯﾄ</v>
      </c>
      <c r="Q6" s="37">
        <f>機器表!EM15</f>
        <v>119000</v>
      </c>
      <c r="R6" s="37">
        <f>機器表!EN15</f>
        <v>35870</v>
      </c>
      <c r="S6" s="57">
        <f>機器表!EO15</f>
        <v>0.5</v>
      </c>
      <c r="T6" s="108" t="s">
        <v>2280</v>
      </c>
      <c r="W6" s="234" t="s">
        <v>2302</v>
      </c>
      <c r="X6" s="108">
        <v>1</v>
      </c>
      <c r="Y6" s="39" t="str">
        <f>機器表!EL15</f>
        <v>ｾｯﾄ</v>
      </c>
      <c r="Z6" s="37">
        <f>機器表!EM15</f>
        <v>119000</v>
      </c>
      <c r="AA6" s="37">
        <f>機器表!EN15</f>
        <v>35870</v>
      </c>
      <c r="AB6" s="57">
        <f>機器表!EO15</f>
        <v>0.5</v>
      </c>
      <c r="AC6" s="108" t="s">
        <v>2280</v>
      </c>
      <c r="AE6" s="108" t="s">
        <v>2303</v>
      </c>
      <c r="AF6" s="108">
        <v>1</v>
      </c>
      <c r="AG6" s="146" t="str">
        <f>管材表!FA3</f>
        <v>個</v>
      </c>
      <c r="AH6" s="37">
        <f>管材表!FB3</f>
        <v>16500</v>
      </c>
      <c r="AI6" s="194">
        <f>管材表!FC3</f>
        <v>4670</v>
      </c>
      <c r="AJ6" s="151">
        <f>管材表!FD3</f>
        <v>0.3</v>
      </c>
      <c r="AK6" s="108" t="s">
        <v>2304</v>
      </c>
      <c r="AN6" s="108" t="s">
        <v>2289</v>
      </c>
      <c r="AO6" s="25">
        <v>1</v>
      </c>
      <c r="AP6" s="25" t="s">
        <v>49</v>
      </c>
      <c r="AQ6" s="28">
        <v>165000</v>
      </c>
      <c r="AR6" s="28">
        <v>88000</v>
      </c>
      <c r="AS6" s="29">
        <v>0</v>
      </c>
      <c r="AW6" s="108" t="s">
        <v>2305</v>
      </c>
      <c r="AX6" s="108">
        <v>1</v>
      </c>
      <c r="AY6" s="39" t="str">
        <f>機器表!EL7</f>
        <v>ｾｯﾄ</v>
      </c>
      <c r="AZ6" s="37">
        <f>機器表!EM7</f>
        <v>60400</v>
      </c>
      <c r="BA6" s="37">
        <f>機器表!EN7</f>
        <v>20760</v>
      </c>
      <c r="BB6" s="57">
        <f>機器表!EO7</f>
        <v>0.5</v>
      </c>
      <c r="BC6" s="108" t="s">
        <v>2280</v>
      </c>
      <c r="BF6" s="108" t="s">
        <v>2306</v>
      </c>
      <c r="BG6" s="108">
        <v>40</v>
      </c>
      <c r="BH6" s="108" t="s">
        <v>1821</v>
      </c>
      <c r="BI6" s="144">
        <f>機器表!GA4</f>
        <v>22000</v>
      </c>
      <c r="BJ6" s="144">
        <f>機器表!GB4</f>
        <v>11000</v>
      </c>
      <c r="BK6" s="145">
        <v>0.15</v>
      </c>
      <c r="BL6" s="108" t="s">
        <v>2280</v>
      </c>
      <c r="BO6" s="58" t="str">
        <f>CONCATENATE("③",電材表!I9,"　　　　 ",電材表!J9)</f>
        <v>③室温ｾﾝｻｰｾｯﾄ　　　　 TS-102P</v>
      </c>
      <c r="BP6" s="25">
        <v>1</v>
      </c>
      <c r="BQ6" s="39" t="str">
        <f>電材表!K9</f>
        <v>個</v>
      </c>
      <c r="BR6" s="37">
        <f>電材表!L9</f>
        <v>18100</v>
      </c>
      <c r="BS6" s="37">
        <f>電材表!M9</f>
        <v>2530</v>
      </c>
      <c r="BT6" s="57">
        <f>電材表!N9</f>
        <v>0</v>
      </c>
      <c r="BU6" s="25" t="s">
        <v>2295</v>
      </c>
    </row>
    <row r="7" spans="1:73">
      <c r="A7" s="25" t="s">
        <v>557</v>
      </c>
      <c r="B7" s="25" t="s">
        <v>2307</v>
      </c>
      <c r="C7" s="25">
        <f t="shared" si="0"/>
        <v>4</v>
      </c>
      <c r="E7" s="146" t="str">
        <f>CONCATENATE("○",機器表!EJ24,"　",機器表!EK24)</f>
        <v>○煙突直管 　φ120</v>
      </c>
      <c r="F7" s="108">
        <v>1</v>
      </c>
      <c r="G7" s="39" t="str">
        <f>機器表!EL24</f>
        <v>本</v>
      </c>
      <c r="H7" s="37">
        <f>機器表!EM24</f>
        <v>8470</v>
      </c>
      <c r="I7" s="37">
        <f>機器表!EN24</f>
        <v>2090</v>
      </c>
      <c r="J7" s="57">
        <f>機器表!EO24</f>
        <v>0.1</v>
      </c>
      <c r="K7" s="108" t="s">
        <v>2280</v>
      </c>
      <c r="N7" s="108" t="s">
        <v>2308</v>
      </c>
      <c r="O7" s="108">
        <v>1</v>
      </c>
      <c r="P7" s="108" t="s">
        <v>2290</v>
      </c>
      <c r="Q7" s="150">
        <f>ROUND(項目表!$E$3*標準項!T7,-3)</f>
        <v>24000</v>
      </c>
      <c r="R7" s="150">
        <f>ROUND(項目表!$F$3*標準項!T7,-3)</f>
        <v>15000</v>
      </c>
      <c r="S7" s="145"/>
      <c r="T7" s="154">
        <f>S6</f>
        <v>0.5</v>
      </c>
      <c r="W7" s="108" t="s">
        <v>2308</v>
      </c>
      <c r="X7" s="108">
        <v>1</v>
      </c>
      <c r="Y7" s="108" t="s">
        <v>2290</v>
      </c>
      <c r="Z7" s="148">
        <f>ROUND(項目表!$E$3*標準項!AC7,-3)</f>
        <v>24000</v>
      </c>
      <c r="AA7" s="148">
        <f>ROUND(項目表!$F$3*標準項!AC7,-3)</f>
        <v>15000</v>
      </c>
      <c r="AB7" s="145"/>
      <c r="AC7" s="154">
        <f>AB6</f>
        <v>0.5</v>
      </c>
      <c r="AE7" s="108" t="s">
        <v>2309</v>
      </c>
      <c r="AF7" s="108">
        <v>1</v>
      </c>
      <c r="AG7" s="146" t="str">
        <f>管材表!FA8</f>
        <v>個</v>
      </c>
      <c r="AH7" s="194">
        <f>管材表!FB8</f>
        <v>18000</v>
      </c>
      <c r="AI7" s="194">
        <f>管材表!FC8</f>
        <v>4600</v>
      </c>
      <c r="AJ7" s="151">
        <f>管材表!FD8</f>
        <v>0.2</v>
      </c>
      <c r="AK7" s="108" t="s">
        <v>2304</v>
      </c>
      <c r="AN7" s="174" t="s">
        <v>2310</v>
      </c>
      <c r="AO7" s="126">
        <v>1</v>
      </c>
      <c r="AP7" s="126" t="s">
        <v>49</v>
      </c>
      <c r="AQ7" s="73">
        <v>200000</v>
      </c>
      <c r="AR7" s="73">
        <v>100000</v>
      </c>
      <c r="AS7" s="173">
        <v>0</v>
      </c>
      <c r="AW7" s="108" t="s">
        <v>2311</v>
      </c>
      <c r="AX7" s="108">
        <v>1</v>
      </c>
      <c r="AY7" s="39" t="str">
        <f>機器表!EL24</f>
        <v>本</v>
      </c>
      <c r="AZ7" s="37">
        <f>機器表!EM24</f>
        <v>8470</v>
      </c>
      <c r="BA7" s="37">
        <f>機器表!EN24</f>
        <v>2090</v>
      </c>
      <c r="BB7" s="57">
        <f>機器表!EO24</f>
        <v>0.1</v>
      </c>
      <c r="BC7" s="108" t="s">
        <v>2280</v>
      </c>
      <c r="BF7" s="108" t="s">
        <v>2312</v>
      </c>
      <c r="BG7" s="108">
        <v>1</v>
      </c>
      <c r="BH7" s="108" t="s">
        <v>2299</v>
      </c>
      <c r="BI7" s="144">
        <f>ROUND(項目表!$E$3*BL7,-3)</f>
        <v>188000</v>
      </c>
      <c r="BJ7" s="144">
        <f>ROUND(項目表!$F$3*BL7,-3)</f>
        <v>116000</v>
      </c>
      <c r="BK7" s="145"/>
      <c r="BL7" s="108">
        <v>3.96</v>
      </c>
      <c r="BO7" s="58" t="str">
        <f>CONCATENATE("③",電材表!Q19,"　　",電材表!R19)</f>
        <v>③不完全燃焼警報器　　SG-35</v>
      </c>
      <c r="BP7" s="25">
        <v>1</v>
      </c>
      <c r="BQ7" s="39" t="str">
        <f>電材表!S19</f>
        <v>個</v>
      </c>
      <c r="BR7" s="37">
        <f>電材表!T19</f>
        <v>85800</v>
      </c>
      <c r="BS7" s="37">
        <f>電材表!U19</f>
        <v>31120</v>
      </c>
      <c r="BT7" s="153">
        <f>電材表!V19</f>
        <v>0</v>
      </c>
      <c r="BU7" s="25" t="s">
        <v>2296</v>
      </c>
    </row>
    <row r="8" spans="1:73">
      <c r="A8" s="25" t="s">
        <v>591</v>
      </c>
      <c r="B8" s="25" t="s">
        <v>2313</v>
      </c>
      <c r="C8" s="25">
        <f t="shared" si="0"/>
        <v>5</v>
      </c>
      <c r="E8" s="146" t="str">
        <f>CONCATENATE("○",機器表!EJ36,"　",機器表!EK36)</f>
        <v>○煙突ｴﾋﾞﾏｶﾞﾘ 　φ120</v>
      </c>
      <c r="F8" s="108">
        <v>1</v>
      </c>
      <c r="G8" s="39" t="str">
        <f>機器表!EL36</f>
        <v>個</v>
      </c>
      <c r="H8" s="37">
        <f>機器表!EM36</f>
        <v>6490</v>
      </c>
      <c r="I8" s="37">
        <f>機器表!EN36</f>
        <v>1360</v>
      </c>
      <c r="J8" s="57">
        <f>機器表!EO36</f>
        <v>0.1</v>
      </c>
      <c r="K8" s="108" t="s">
        <v>2280</v>
      </c>
      <c r="N8" s="108" t="s">
        <v>2314</v>
      </c>
      <c r="O8" s="108">
        <v>1</v>
      </c>
      <c r="P8" s="39" t="str">
        <f>機器表!EL9</f>
        <v>ｾｯﾄ</v>
      </c>
      <c r="Q8" s="37">
        <f>機器表!EM9</f>
        <v>72800</v>
      </c>
      <c r="R8" s="37">
        <f>機器表!EN9</f>
        <v>23890</v>
      </c>
      <c r="S8" s="57">
        <f>機器表!EO9</f>
        <v>0.7</v>
      </c>
      <c r="T8" s="108" t="s">
        <v>2280</v>
      </c>
      <c r="W8" s="108" t="s">
        <v>2314</v>
      </c>
      <c r="X8" s="108">
        <v>1</v>
      </c>
      <c r="Y8" s="39" t="str">
        <f>機器表!EL9</f>
        <v>ｾｯﾄ</v>
      </c>
      <c r="Z8" s="37">
        <f>機器表!EM9</f>
        <v>72800</v>
      </c>
      <c r="AA8" s="37">
        <f>機器表!EN9</f>
        <v>23890</v>
      </c>
      <c r="AB8" s="57">
        <f>機器表!EO9</f>
        <v>0.7</v>
      </c>
      <c r="AC8" s="108" t="s">
        <v>2280</v>
      </c>
      <c r="AE8" s="146" t="str">
        <f>CONCATENATE("①",管材表!CM3,"　",管材表!CN3)</f>
        <v>①ﾏﾚｰﾌﾞﾙ弁　15A</v>
      </c>
      <c r="AF8" s="108">
        <v>1</v>
      </c>
      <c r="AG8" s="146" t="str">
        <f>管材表!CO3</f>
        <v>個</v>
      </c>
      <c r="AH8" s="152">
        <f>管材表!CP3</f>
        <v>12200</v>
      </c>
      <c r="AI8" s="152">
        <f>管材表!CQ3</f>
        <v>7930</v>
      </c>
      <c r="AJ8" s="151">
        <f>管材表!CR3</f>
        <v>0.08</v>
      </c>
      <c r="AK8" s="108" t="s">
        <v>2304</v>
      </c>
      <c r="AN8" s="108" t="s">
        <v>2315</v>
      </c>
      <c r="AO8" s="25">
        <v>1</v>
      </c>
      <c r="AP8" s="25" t="s">
        <v>49</v>
      </c>
      <c r="AQ8" s="28">
        <v>9600</v>
      </c>
      <c r="AR8" s="28">
        <v>6000</v>
      </c>
      <c r="AS8" s="29">
        <v>0</v>
      </c>
      <c r="AW8" s="108" t="s">
        <v>2316</v>
      </c>
      <c r="AX8" s="108">
        <v>1</v>
      </c>
      <c r="AY8" s="39" t="str">
        <f>機器表!EL36</f>
        <v>個</v>
      </c>
      <c r="AZ8" s="37">
        <f>機器表!EM36</f>
        <v>6490</v>
      </c>
      <c r="BA8" s="37">
        <f>機器表!EN36</f>
        <v>1360</v>
      </c>
      <c r="BB8" s="57">
        <f>機器表!EO36</f>
        <v>0.1</v>
      </c>
      <c r="BC8" s="108" t="s">
        <v>2280</v>
      </c>
      <c r="BF8" s="146" t="str">
        <f>CONCATENATE("①",管材表!K7,"　",管材表!L7)</f>
        <v>①SGP鋼管(白)　40A</v>
      </c>
      <c r="BG8" s="108">
        <v>20</v>
      </c>
      <c r="BH8" s="146" t="str">
        <f>管材表!M8</f>
        <v>m</v>
      </c>
      <c r="BI8" s="152">
        <f>管材表!N7</f>
        <v>6910</v>
      </c>
      <c r="BJ8" s="152">
        <f>管材表!O7</f>
        <v>3660</v>
      </c>
      <c r="BK8" s="151">
        <f>管材表!P7</f>
        <v>0.23</v>
      </c>
      <c r="BL8" s="108" t="s">
        <v>2304</v>
      </c>
      <c r="BO8" s="58" t="str">
        <f>CONCATENATE("③",電材表!Q18,"　　　　　　　",電材表!R18)</f>
        <v>③感震器　　　　　　　BES-100</v>
      </c>
      <c r="BP8" s="25">
        <v>1</v>
      </c>
      <c r="BQ8" s="39" t="str">
        <f>電材表!S18</f>
        <v>個</v>
      </c>
      <c r="BR8" s="37">
        <f>電材表!T18</f>
        <v>20100</v>
      </c>
      <c r="BS8" s="37">
        <f>電材表!U18</f>
        <v>5580</v>
      </c>
      <c r="BT8" s="57">
        <f>電材表!V18</f>
        <v>0</v>
      </c>
      <c r="BU8" s="25" t="s">
        <v>2296</v>
      </c>
    </row>
    <row r="9" spans="1:73">
      <c r="A9" s="25" t="s">
        <v>624</v>
      </c>
      <c r="B9" s="25" t="s">
        <v>2317</v>
      </c>
      <c r="C9" s="25">
        <f t="shared" si="0"/>
        <v>6</v>
      </c>
      <c r="E9" s="108" t="s">
        <v>2318</v>
      </c>
      <c r="F9" s="108">
        <v>1</v>
      </c>
      <c r="G9" s="108" t="s">
        <v>2299</v>
      </c>
      <c r="H9" s="144">
        <v>18000</v>
      </c>
      <c r="I9" s="144">
        <v>12000</v>
      </c>
      <c r="J9" s="145">
        <v>0</v>
      </c>
      <c r="K9" s="108"/>
      <c r="N9" s="108" t="s">
        <v>2319</v>
      </c>
      <c r="O9" s="108">
        <v>2</v>
      </c>
      <c r="P9" s="39" t="str">
        <f>機器表!EL25</f>
        <v>本</v>
      </c>
      <c r="Q9" s="37">
        <f>機器表!EM25</f>
        <v>9930</v>
      </c>
      <c r="R9" s="37">
        <f>機器表!EN25</f>
        <v>2290</v>
      </c>
      <c r="S9" s="57">
        <f>機器表!EO25</f>
        <v>0.1</v>
      </c>
      <c r="T9" s="108" t="s">
        <v>2280</v>
      </c>
      <c r="W9" s="108" t="s">
        <v>2319</v>
      </c>
      <c r="X9" s="108">
        <v>2</v>
      </c>
      <c r="Y9" s="39" t="str">
        <f>機器表!EL25</f>
        <v>本</v>
      </c>
      <c r="Z9" s="37">
        <f>機器表!EM25</f>
        <v>9930</v>
      </c>
      <c r="AA9" s="37">
        <f>機器表!EN25</f>
        <v>2290</v>
      </c>
      <c r="AB9" s="57">
        <f>機器表!EO25</f>
        <v>0.1</v>
      </c>
      <c r="AC9" s="108" t="s">
        <v>2280</v>
      </c>
      <c r="AE9" s="108" t="s">
        <v>2320</v>
      </c>
      <c r="AF9" s="108">
        <v>1</v>
      </c>
      <c r="AG9" s="108" t="s">
        <v>2290</v>
      </c>
      <c r="AH9" s="148">
        <f>ROUND(項目表!$E$3*標準項!AK9,-3)</f>
        <v>28000</v>
      </c>
      <c r="AI9" s="148">
        <f>ROUND(項目表!$F$3*標準項!AK9,-3)</f>
        <v>17000</v>
      </c>
      <c r="AJ9" s="145"/>
      <c r="AK9" s="157">
        <v>0.57999999999999996</v>
      </c>
      <c r="AN9" s="25" t="s">
        <v>2321</v>
      </c>
      <c r="AO9" s="25">
        <v>1</v>
      </c>
      <c r="AP9" s="25" t="s">
        <v>49</v>
      </c>
      <c r="AQ9" s="28">
        <v>6000</v>
      </c>
      <c r="AR9" s="28">
        <v>3000</v>
      </c>
      <c r="AS9" s="29">
        <v>0</v>
      </c>
      <c r="AW9" s="108" t="s">
        <v>2318</v>
      </c>
      <c r="AX9" s="108">
        <v>1</v>
      </c>
      <c r="AY9" s="108" t="s">
        <v>1824</v>
      </c>
      <c r="AZ9" s="144">
        <v>15000</v>
      </c>
      <c r="BA9" s="144">
        <v>10000</v>
      </c>
      <c r="BB9" s="145">
        <v>0</v>
      </c>
      <c r="BC9" s="108"/>
      <c r="BF9" s="146" t="str">
        <f>CONCATENATE("①",管材表!DK14,"　",管材表!DL14)</f>
        <v>①電動ﾎﾞｰﾙ弁(3方)　40A</v>
      </c>
      <c r="BG9" s="108">
        <v>1</v>
      </c>
      <c r="BH9" s="146" t="str">
        <f>管材表!DM14</f>
        <v xml:space="preserve">個  </v>
      </c>
      <c r="BI9" s="152">
        <f>管材表!DN14</f>
        <v>76000</v>
      </c>
      <c r="BJ9" s="152">
        <f>管材表!DO14</f>
        <v>49400</v>
      </c>
      <c r="BK9" s="151">
        <f>管材表!DP14</f>
        <v>0.16</v>
      </c>
      <c r="BL9" s="108" t="s">
        <v>2304</v>
      </c>
      <c r="BO9" s="26" t="s">
        <v>2308</v>
      </c>
      <c r="BP9" s="25">
        <v>1</v>
      </c>
      <c r="BQ9" s="25" t="s">
        <v>2299</v>
      </c>
      <c r="BR9" s="28">
        <v>11000</v>
      </c>
      <c r="BS9" s="28">
        <v>7000</v>
      </c>
      <c r="BT9" s="29"/>
    </row>
    <row r="10" spans="1:73">
      <c r="A10" s="25" t="s">
        <v>658</v>
      </c>
      <c r="B10" s="25" t="s">
        <v>2322</v>
      </c>
      <c r="C10" s="25">
        <f t="shared" si="0"/>
        <v>7</v>
      </c>
      <c r="E10" s="108" t="s">
        <v>2323</v>
      </c>
      <c r="F10" s="108">
        <v>1</v>
      </c>
      <c r="G10" s="108" t="s">
        <v>2290</v>
      </c>
      <c r="H10" s="148">
        <f>ROUND(項目表!$E$3*標準項!K10,-3)</f>
        <v>33000</v>
      </c>
      <c r="I10" s="148">
        <f>ROUND(項目表!$F$3*標準項!K10,-3)</f>
        <v>21000</v>
      </c>
      <c r="J10" s="145"/>
      <c r="K10" s="157">
        <v>0.7</v>
      </c>
      <c r="N10" s="108" t="s">
        <v>2324</v>
      </c>
      <c r="O10" s="108">
        <v>1</v>
      </c>
      <c r="P10" s="39" t="str">
        <f>機器表!EL38</f>
        <v>個</v>
      </c>
      <c r="Q10" s="37">
        <f>機器表!EM38</f>
        <v>7210</v>
      </c>
      <c r="R10" s="37">
        <f>機器表!EN38</f>
        <v>1560</v>
      </c>
      <c r="S10" s="57">
        <f>機器表!EO38</f>
        <v>0.1</v>
      </c>
      <c r="T10" s="108" t="s">
        <v>2280</v>
      </c>
      <c r="W10" s="108" t="s">
        <v>2324</v>
      </c>
      <c r="X10" s="108">
        <v>1</v>
      </c>
      <c r="Y10" s="39" t="str">
        <f>機器表!EL38</f>
        <v>個</v>
      </c>
      <c r="Z10" s="37">
        <f>機器表!EM38</f>
        <v>7210</v>
      </c>
      <c r="AA10" s="37">
        <f>機器表!EN38</f>
        <v>1560</v>
      </c>
      <c r="AB10" s="57">
        <f>機器表!EO38</f>
        <v>0.1</v>
      </c>
      <c r="AC10" s="108" t="s">
        <v>2280</v>
      </c>
      <c r="AE10" s="108" t="s">
        <v>2325</v>
      </c>
      <c r="AF10" s="108">
        <v>1</v>
      </c>
      <c r="AG10" s="108" t="s">
        <v>2299</v>
      </c>
      <c r="AH10" s="144">
        <v>5000</v>
      </c>
      <c r="AI10" s="144">
        <v>3000</v>
      </c>
      <c r="AJ10" s="145"/>
      <c r="AK10" s="108"/>
      <c r="AN10" s="25" t="s">
        <v>2326</v>
      </c>
      <c r="AO10" s="25">
        <v>1</v>
      </c>
      <c r="AP10" s="25" t="s">
        <v>49</v>
      </c>
      <c r="AQ10" s="28">
        <v>6000</v>
      </c>
      <c r="AR10" s="28">
        <v>3000</v>
      </c>
      <c r="AW10" s="108" t="s">
        <v>2327</v>
      </c>
      <c r="AX10" s="108">
        <v>1</v>
      </c>
      <c r="AY10" s="108" t="s">
        <v>2299</v>
      </c>
      <c r="AZ10" s="148">
        <f>ROUND(項目表!$E$3*BC10,-3)</f>
        <v>36000</v>
      </c>
      <c r="BA10" s="148">
        <f>ROUND(項目表!$F$3*BC10,-3)</f>
        <v>22000</v>
      </c>
      <c r="BB10" s="145"/>
      <c r="BC10" s="157">
        <v>0.75</v>
      </c>
      <c r="BF10" s="146" t="str">
        <f>CONCATENATE("①",管材表!BG7,"　",管材表!BH7)</f>
        <v>①ｹﾞｰﾄ弁　40A</v>
      </c>
      <c r="BG10" s="108">
        <v>3</v>
      </c>
      <c r="BH10" s="146" t="str">
        <f>管材表!BI7</f>
        <v>個</v>
      </c>
      <c r="BI10" s="152">
        <f>管材表!BJ7</f>
        <v>26700</v>
      </c>
      <c r="BJ10" s="152">
        <f>管材表!BK7</f>
        <v>17360</v>
      </c>
      <c r="BK10" s="151">
        <f>管材表!BL7</f>
        <v>0.16</v>
      </c>
      <c r="BL10" s="108" t="s">
        <v>2304</v>
      </c>
      <c r="BO10" s="25" t="s">
        <v>2328</v>
      </c>
      <c r="BP10" s="25">
        <v>1</v>
      </c>
      <c r="BQ10" s="39" t="str">
        <f>機器表!ED4</f>
        <v>基</v>
      </c>
      <c r="BR10" s="178">
        <f>機器表!EE4</f>
        <v>84000</v>
      </c>
      <c r="BS10" s="178">
        <f>機器表!EF4</f>
        <v>26080</v>
      </c>
      <c r="BT10" s="39">
        <f>機器表!EG4</f>
        <v>0.2</v>
      </c>
      <c r="BU10" s="25" t="s">
        <v>2280</v>
      </c>
    </row>
    <row r="11" spans="1:73">
      <c r="A11" s="25" t="s">
        <v>2329</v>
      </c>
      <c r="E11" s="108" t="s">
        <v>2330</v>
      </c>
      <c r="F11" s="108">
        <v>1</v>
      </c>
      <c r="G11" s="108" t="s">
        <v>2299</v>
      </c>
      <c r="H11" s="144">
        <v>15000</v>
      </c>
      <c r="I11" s="144">
        <v>10000</v>
      </c>
      <c r="J11" s="145">
        <v>0</v>
      </c>
      <c r="K11" s="108"/>
      <c r="N11" s="108" t="s">
        <v>2318</v>
      </c>
      <c r="O11" s="108">
        <v>1</v>
      </c>
      <c r="P11" s="108" t="s">
        <v>1824</v>
      </c>
      <c r="Q11" s="148">
        <v>25000</v>
      </c>
      <c r="R11" s="144">
        <v>14000</v>
      </c>
      <c r="S11" s="145"/>
      <c r="T11" s="108"/>
      <c r="W11" s="108" t="s">
        <v>2331</v>
      </c>
      <c r="X11" s="108">
        <v>1</v>
      </c>
      <c r="Y11" s="108" t="s">
        <v>1824</v>
      </c>
      <c r="Z11" s="148">
        <v>25000</v>
      </c>
      <c r="AA11" s="144">
        <v>14000</v>
      </c>
      <c r="AB11" s="145"/>
      <c r="AC11" s="108"/>
      <c r="AN11" s="25" t="s">
        <v>2332</v>
      </c>
      <c r="AO11" s="25">
        <v>3</v>
      </c>
      <c r="AP11" s="39" t="str">
        <f>機器表!FJ3</f>
        <v>本</v>
      </c>
      <c r="AQ11" s="37">
        <f>機器表!FK3</f>
        <v>11600</v>
      </c>
      <c r="AR11" s="37">
        <f>機器表!FL3</f>
        <v>2710</v>
      </c>
      <c r="AS11" s="57">
        <f>機器表!FM3</f>
        <v>0</v>
      </c>
      <c r="AT11" s="25" t="s">
        <v>2333</v>
      </c>
      <c r="AW11" s="108" t="s">
        <v>2334</v>
      </c>
      <c r="AX11" s="108">
        <v>1</v>
      </c>
      <c r="AY11" s="108" t="s">
        <v>2299</v>
      </c>
      <c r="AZ11" s="144">
        <v>15000</v>
      </c>
      <c r="BA11" s="144">
        <v>10000</v>
      </c>
      <c r="BB11" s="145">
        <v>0</v>
      </c>
      <c r="BC11" s="108"/>
      <c r="BF11" s="146" t="str">
        <f>CONCATENATE("①",管材表!BG3,"　",管材表!BH3)</f>
        <v>①ｹﾞｰﾄ弁　15A</v>
      </c>
      <c r="BG11" s="108">
        <v>4</v>
      </c>
      <c r="BH11" s="146" t="str">
        <f>管材表!BI3</f>
        <v>個</v>
      </c>
      <c r="BI11" s="152">
        <f>管材表!BJ3</f>
        <v>6510</v>
      </c>
      <c r="BJ11" s="152">
        <f>管材表!BK3</f>
        <v>4230</v>
      </c>
      <c r="BK11" s="151">
        <f>管材表!BL3</f>
        <v>0.08</v>
      </c>
      <c r="BL11" s="108" t="s">
        <v>2304</v>
      </c>
      <c r="BO11" s="25" t="s">
        <v>2335</v>
      </c>
      <c r="BP11" s="25">
        <v>1</v>
      </c>
      <c r="BQ11" s="25" t="s">
        <v>2290</v>
      </c>
      <c r="BR11" s="180">
        <f>ROUND(項目表!$E$3*標準項!BU11,-3)</f>
        <v>10000</v>
      </c>
      <c r="BS11" s="180">
        <f>ROUND(項目表!$F$3*標準項!BU11,-3)</f>
        <v>6000</v>
      </c>
      <c r="BT11" s="29"/>
      <c r="BU11" s="75">
        <f>BT10</f>
        <v>0.2</v>
      </c>
    </row>
    <row r="12" spans="1:73">
      <c r="A12" s="25" t="s">
        <v>249</v>
      </c>
      <c r="B12" s="25" t="s">
        <v>2336</v>
      </c>
      <c r="C12" s="25">
        <v>8</v>
      </c>
      <c r="E12" s="146" t="str">
        <f>CONCATENATE("①",管材表!K7,"　",管材表!L7)</f>
        <v>①SGP鋼管(白)　40A</v>
      </c>
      <c r="F12" s="108">
        <v>4</v>
      </c>
      <c r="G12" s="146" t="str">
        <f>管材表!M7</f>
        <v>m</v>
      </c>
      <c r="H12" s="152">
        <f>管材表!N7</f>
        <v>6910</v>
      </c>
      <c r="I12" s="152">
        <f>管材表!O7</f>
        <v>3660</v>
      </c>
      <c r="J12" s="151">
        <f>管材表!P7</f>
        <v>0.23</v>
      </c>
      <c r="K12" s="108" t="s">
        <v>2304</v>
      </c>
      <c r="N12" s="25" t="s">
        <v>2323</v>
      </c>
      <c r="O12" s="108">
        <v>1</v>
      </c>
      <c r="P12" s="108" t="s">
        <v>2290</v>
      </c>
      <c r="Q12" s="148">
        <f>ROUND(項目表!$E$3*標準項!T12,-3)</f>
        <v>43000</v>
      </c>
      <c r="R12" s="148">
        <f>ROUND(項目表!$F$3*標準項!T12,-3)</f>
        <v>26000</v>
      </c>
      <c r="S12" s="145"/>
      <c r="T12" s="157">
        <v>0.9</v>
      </c>
      <c r="W12" s="25" t="s">
        <v>2323</v>
      </c>
      <c r="X12" s="108">
        <v>1</v>
      </c>
      <c r="Y12" s="108" t="s">
        <v>2290</v>
      </c>
      <c r="Z12" s="148">
        <f>ROUND(項目表!$E$3*標準項!AC12,-3)</f>
        <v>43000</v>
      </c>
      <c r="AA12" s="148">
        <f>ROUND(項目表!$F$3*標準項!AC12,-3)</f>
        <v>26000</v>
      </c>
      <c r="AB12" s="145"/>
      <c r="AC12" s="157">
        <v>0.9</v>
      </c>
      <c r="AE12" s="51" t="s">
        <v>2337</v>
      </c>
      <c r="AN12" s="108" t="s">
        <v>2338</v>
      </c>
      <c r="AO12" s="25">
        <v>1</v>
      </c>
      <c r="AP12" s="25" t="s">
        <v>49</v>
      </c>
      <c r="AQ12" s="28">
        <v>3000</v>
      </c>
      <c r="AR12" s="28">
        <v>1500</v>
      </c>
      <c r="AS12" s="29">
        <v>0</v>
      </c>
      <c r="AW12" s="108" t="s">
        <v>2325</v>
      </c>
      <c r="AX12" s="108">
        <v>1</v>
      </c>
      <c r="AY12" s="108" t="s">
        <v>2299</v>
      </c>
      <c r="AZ12" s="73">
        <v>15000</v>
      </c>
      <c r="BA12" s="73">
        <v>7500</v>
      </c>
      <c r="BB12" s="145">
        <v>0</v>
      </c>
      <c r="BF12" s="108" t="s">
        <v>2339</v>
      </c>
      <c r="BG12" s="108">
        <v>4</v>
      </c>
      <c r="BH12" s="108" t="s">
        <v>1824</v>
      </c>
      <c r="BI12" s="144">
        <f>管材表!ET12</f>
        <v>36100</v>
      </c>
      <c r="BJ12" s="144">
        <f>管材表!EU12</f>
        <v>28880</v>
      </c>
      <c r="BK12" s="145">
        <v>0.08</v>
      </c>
      <c r="BL12" s="108" t="s">
        <v>2304</v>
      </c>
      <c r="BO12" s="25" t="s">
        <v>2340</v>
      </c>
      <c r="BP12" s="25">
        <v>1</v>
      </c>
      <c r="BQ12" s="25" t="s">
        <v>2290</v>
      </c>
      <c r="BR12" s="180">
        <f>ROUND(項目表!$E$3*標準項!BU12,-3)</f>
        <v>10000</v>
      </c>
      <c r="BS12" s="180">
        <f>ROUND(項目表!$F$3*標準項!BU12,-3)</f>
        <v>6000</v>
      </c>
      <c r="BT12" s="29"/>
      <c r="BU12" s="75">
        <f>BT10</f>
        <v>0.2</v>
      </c>
    </row>
    <row r="13" spans="1:73">
      <c r="A13" s="25" t="s">
        <v>317</v>
      </c>
      <c r="B13" s="25" t="s">
        <v>2341</v>
      </c>
      <c r="C13" s="25">
        <f t="shared" si="0"/>
        <v>9</v>
      </c>
      <c r="E13" s="146" t="str">
        <f>CONCATENATE("①",管材表!K5,"　",管材表!L5)</f>
        <v>①SGP鋼管(白)　25A</v>
      </c>
      <c r="F13" s="108">
        <v>4</v>
      </c>
      <c r="G13" s="146" t="str">
        <f>管材表!M5</f>
        <v>m</v>
      </c>
      <c r="H13" s="152">
        <f>管材表!N5</f>
        <v>4540</v>
      </c>
      <c r="I13" s="152">
        <f>管材表!O5</f>
        <v>2400</v>
      </c>
      <c r="J13" s="151">
        <f>管材表!P5</f>
        <v>0.17</v>
      </c>
      <c r="K13" s="108" t="s">
        <v>2342</v>
      </c>
      <c r="N13" s="108" t="s">
        <v>2343</v>
      </c>
      <c r="O13" s="108">
        <v>1</v>
      </c>
      <c r="P13" s="108" t="s">
        <v>1268</v>
      </c>
      <c r="Q13" s="144">
        <v>20000</v>
      </c>
      <c r="R13" s="144">
        <v>13000</v>
      </c>
      <c r="S13" s="145">
        <v>0.1</v>
      </c>
      <c r="T13" s="108" t="s">
        <v>2280</v>
      </c>
      <c r="W13" s="108" t="s">
        <v>2343</v>
      </c>
      <c r="X13" s="108">
        <v>1</v>
      </c>
      <c r="Y13" s="108" t="s">
        <v>1268</v>
      </c>
      <c r="Z13" s="144">
        <v>20000</v>
      </c>
      <c r="AA13" s="144">
        <v>13000</v>
      </c>
      <c r="AB13" s="145">
        <v>0.1</v>
      </c>
      <c r="AC13" s="108" t="s">
        <v>2280</v>
      </c>
      <c r="AE13" s="108" t="s">
        <v>2344</v>
      </c>
      <c r="AF13" s="108">
        <v>1</v>
      </c>
      <c r="AG13" s="108" t="s">
        <v>2345</v>
      </c>
      <c r="AH13" s="28">
        <f>機器表!EE7</f>
        <v>380000</v>
      </c>
      <c r="AI13" s="28">
        <f>機器表!EF7</f>
        <v>164280</v>
      </c>
      <c r="AJ13" s="29">
        <f>機器表!EG7</f>
        <v>1.4</v>
      </c>
      <c r="AK13" s="108" t="s">
        <v>2280</v>
      </c>
      <c r="AN13" s="108" t="s">
        <v>2346</v>
      </c>
      <c r="AO13" s="25">
        <v>1</v>
      </c>
      <c r="AP13" s="25" t="s">
        <v>49</v>
      </c>
      <c r="AQ13" s="28">
        <v>50000</v>
      </c>
      <c r="AR13" s="28">
        <v>23000</v>
      </c>
      <c r="BC13" s="108"/>
      <c r="BF13" s="108" t="s">
        <v>2347</v>
      </c>
      <c r="BG13" s="108">
        <v>1</v>
      </c>
      <c r="BH13" s="108" t="s">
        <v>2299</v>
      </c>
      <c r="BI13" s="144">
        <v>90000</v>
      </c>
      <c r="BJ13" s="144">
        <v>60000</v>
      </c>
      <c r="BK13" s="145">
        <v>0</v>
      </c>
      <c r="BL13" s="108"/>
      <c r="BO13" s="26" t="s">
        <v>2348</v>
      </c>
      <c r="BP13" s="25">
        <v>1</v>
      </c>
      <c r="BQ13" s="39" t="str">
        <f>管材表!FA6</f>
        <v>個</v>
      </c>
      <c r="BR13" s="178">
        <f>管材表!FB6</f>
        <v>11800</v>
      </c>
      <c r="BS13" s="178">
        <f>管材表!FC6</f>
        <v>4430</v>
      </c>
      <c r="BT13" s="39">
        <f>管材表!FD6</f>
        <v>0.3</v>
      </c>
      <c r="BU13" s="25" t="s">
        <v>2304</v>
      </c>
    </row>
    <row r="14" spans="1:73">
      <c r="A14" s="25" t="s">
        <v>399</v>
      </c>
      <c r="B14" s="25" t="s">
        <v>2349</v>
      </c>
      <c r="C14" s="25">
        <f t="shared" si="0"/>
        <v>10</v>
      </c>
      <c r="E14" s="146" t="str">
        <f>CONCATENATE("①",管材表!K3,"　",管材表!L3)</f>
        <v>①SGP鋼管(白)　15A</v>
      </c>
      <c r="F14" s="108">
        <v>4</v>
      </c>
      <c r="G14" s="146" t="str">
        <f>管材表!M3</f>
        <v>m</v>
      </c>
      <c r="H14" s="152">
        <f>管材表!N3</f>
        <v>2650</v>
      </c>
      <c r="I14" s="152">
        <f>管材表!O3</f>
        <v>1410</v>
      </c>
      <c r="J14" s="151">
        <f>管材表!P3</f>
        <v>0.12</v>
      </c>
      <c r="K14" s="108" t="s">
        <v>2304</v>
      </c>
      <c r="N14" s="108" t="s">
        <v>2350</v>
      </c>
      <c r="O14" s="108">
        <v>1</v>
      </c>
      <c r="P14" s="39" t="str">
        <f>機器表!ET14</f>
        <v>本</v>
      </c>
      <c r="Q14" s="37">
        <f>機器表!EU14</f>
        <v>18000</v>
      </c>
      <c r="R14" s="37">
        <f>機器表!EV14</f>
        <v>8150</v>
      </c>
      <c r="S14" s="57">
        <f>機器表!EW14</f>
        <v>0</v>
      </c>
      <c r="T14" s="108" t="s">
        <v>2280</v>
      </c>
      <c r="W14" s="108" t="s">
        <v>2351</v>
      </c>
      <c r="X14" s="108">
        <v>1</v>
      </c>
      <c r="Y14" s="39" t="str">
        <f>機器表!ET18</f>
        <v>本</v>
      </c>
      <c r="Z14" s="37">
        <f>機器表!EU18</f>
        <v>29800</v>
      </c>
      <c r="AA14" s="37">
        <f>機器表!EV18</f>
        <v>14900</v>
      </c>
      <c r="AB14" s="57">
        <f>機器表!EW18</f>
        <v>0</v>
      </c>
      <c r="AC14" s="108" t="s">
        <v>2280</v>
      </c>
      <c r="AE14" s="108" t="s">
        <v>2340</v>
      </c>
      <c r="AF14" s="108">
        <v>1</v>
      </c>
      <c r="AG14" s="108" t="s">
        <v>2290</v>
      </c>
      <c r="AH14" s="148">
        <f>ROUND(項目表!$E$3*標準項!AK14,-3)</f>
        <v>67000</v>
      </c>
      <c r="AI14" s="148">
        <f>ROUND(項目表!$F$3*標準項!AK14,-3)</f>
        <v>41000</v>
      </c>
      <c r="AJ14" s="145"/>
      <c r="AK14" s="149">
        <v>1.4</v>
      </c>
      <c r="AN14" s="108" t="s">
        <v>2352</v>
      </c>
      <c r="AO14" s="25">
        <v>1</v>
      </c>
      <c r="AP14" s="25" t="s">
        <v>49</v>
      </c>
      <c r="AQ14" s="28">
        <v>10000</v>
      </c>
      <c r="AR14" s="28">
        <v>5000</v>
      </c>
      <c r="BF14" s="108" t="s">
        <v>2320</v>
      </c>
      <c r="BG14" s="108">
        <v>1</v>
      </c>
      <c r="BH14" s="108" t="s">
        <v>2299</v>
      </c>
      <c r="BI14" s="144">
        <v>175000</v>
      </c>
      <c r="BJ14" s="144">
        <v>117000</v>
      </c>
      <c r="BK14" s="145"/>
      <c r="BL14" s="108">
        <v>4.67</v>
      </c>
      <c r="BO14" s="108" t="s">
        <v>2353</v>
      </c>
      <c r="BP14" s="108">
        <v>1</v>
      </c>
      <c r="BQ14" s="146" t="str">
        <f>管材表!FA8</f>
        <v>個</v>
      </c>
      <c r="BR14" s="165">
        <f>管材表!FB8</f>
        <v>18000</v>
      </c>
      <c r="BS14" s="165">
        <f>管材表!FC8</f>
        <v>4600</v>
      </c>
      <c r="BT14" s="146">
        <f>管材表!FD8</f>
        <v>0.2</v>
      </c>
      <c r="BU14" s="108" t="s">
        <v>2304</v>
      </c>
    </row>
    <row r="15" spans="1:73">
      <c r="A15" s="25" t="s">
        <v>441</v>
      </c>
      <c r="B15" s="25" t="s">
        <v>2354</v>
      </c>
      <c r="C15" s="25">
        <f t="shared" si="0"/>
        <v>11</v>
      </c>
      <c r="E15" s="146" t="str">
        <f>CONCATENATE("①",管材表!BG7,"　",管材表!BH7)</f>
        <v>①ｹﾞｰﾄ弁　40A</v>
      </c>
      <c r="F15" s="108">
        <v>2</v>
      </c>
      <c r="G15" s="146" t="str">
        <f>管材表!BI7</f>
        <v>個</v>
      </c>
      <c r="H15" s="152">
        <f>管材表!BJ7</f>
        <v>26700</v>
      </c>
      <c r="I15" s="152">
        <f>管材表!BK7</f>
        <v>17360</v>
      </c>
      <c r="J15" s="151">
        <f>管材表!BL7</f>
        <v>0.16</v>
      </c>
      <c r="K15" s="108" t="s">
        <v>2304</v>
      </c>
      <c r="N15" s="108" t="s">
        <v>2351</v>
      </c>
      <c r="O15" s="108">
        <v>1</v>
      </c>
      <c r="P15" s="39" t="str">
        <f>機器表!ET18</f>
        <v>本</v>
      </c>
      <c r="Q15" s="37">
        <f>機器表!EU18</f>
        <v>29800</v>
      </c>
      <c r="R15" s="37">
        <f>機器表!EV18</f>
        <v>14900</v>
      </c>
      <c r="S15" s="57">
        <f>機器表!EW18</f>
        <v>0</v>
      </c>
      <c r="T15" s="108" t="s">
        <v>2280</v>
      </c>
      <c r="W15" s="243" t="s">
        <v>2355</v>
      </c>
      <c r="X15" s="174">
        <v>2</v>
      </c>
      <c r="Y15" s="126" t="s">
        <v>991</v>
      </c>
      <c r="Z15" s="73">
        <v>6300</v>
      </c>
      <c r="AA15" s="73">
        <v>1000</v>
      </c>
      <c r="AE15" s="108" t="s">
        <v>2356</v>
      </c>
      <c r="AF15" s="108">
        <v>1</v>
      </c>
      <c r="AG15" s="108" t="s">
        <v>2290</v>
      </c>
      <c r="AH15" s="148">
        <f>ROUND(項目表!$E$3*標準項!AK15,-3)</f>
        <v>25000</v>
      </c>
      <c r="AI15" s="148">
        <f>ROUND(項目表!$F$3*標準項!AK15,-3)</f>
        <v>15000</v>
      </c>
      <c r="AJ15" s="145"/>
      <c r="AK15" s="159">
        <v>0.52</v>
      </c>
      <c r="AN15" s="32" t="s">
        <v>2357</v>
      </c>
      <c r="AO15" s="32">
        <v>1</v>
      </c>
      <c r="AP15" s="32" t="s">
        <v>77</v>
      </c>
      <c r="AQ15" s="194">
        <f>機器表!DG10</f>
        <v>15000</v>
      </c>
      <c r="AR15" s="194">
        <f>機器表!DH10</f>
        <v>9010</v>
      </c>
      <c r="AS15" s="95">
        <v>0</v>
      </c>
      <c r="AT15" s="32" t="s">
        <v>2333</v>
      </c>
      <c r="AW15" s="51" t="s">
        <v>555</v>
      </c>
      <c r="BF15" s="108" t="s">
        <v>2358</v>
      </c>
      <c r="BG15" s="108">
        <v>1</v>
      </c>
      <c r="BH15" s="108" t="s">
        <v>2299</v>
      </c>
      <c r="BI15" s="144">
        <v>15000</v>
      </c>
      <c r="BJ15" s="144">
        <v>10000</v>
      </c>
      <c r="BK15" s="145"/>
      <c r="BL15" s="108">
        <v>0.4</v>
      </c>
      <c r="BO15" s="146" t="str">
        <f>CONCATENATE("①",管材表!CM3,"　",管材表!CN3)</f>
        <v>①ﾏﾚｰﾌﾞﾙ弁　15A</v>
      </c>
      <c r="BP15" s="108">
        <v>1</v>
      </c>
      <c r="BQ15" s="146" t="str">
        <f>管材表!CO3</f>
        <v>個</v>
      </c>
      <c r="BR15" s="165">
        <f>管材表!CP3</f>
        <v>12200</v>
      </c>
      <c r="BS15" s="165">
        <f>管材表!CQ3</f>
        <v>7930</v>
      </c>
      <c r="BT15" s="146">
        <f>管材表!CR3</f>
        <v>0.08</v>
      </c>
      <c r="BU15" s="108" t="s">
        <v>2304</v>
      </c>
    </row>
    <row r="16" spans="1:73">
      <c r="A16" s="25" t="s">
        <v>553</v>
      </c>
      <c r="B16" s="25" t="s">
        <v>2359</v>
      </c>
      <c r="C16" s="25">
        <f t="shared" si="0"/>
        <v>12</v>
      </c>
      <c r="E16" s="146" t="str">
        <f>CONCATENATE("①",管材表!BG3,"　",管材表!BH3)</f>
        <v>①ｹﾞｰﾄ弁　15A</v>
      </c>
      <c r="F16" s="108">
        <v>2</v>
      </c>
      <c r="G16" s="146" t="str">
        <f>管材表!BI3</f>
        <v>個</v>
      </c>
      <c r="H16" s="152">
        <f>管材表!BJ3</f>
        <v>6510</v>
      </c>
      <c r="I16" s="152">
        <f>管材表!BK3</f>
        <v>4230</v>
      </c>
      <c r="J16" s="151">
        <f>管材表!BL3</f>
        <v>0.08</v>
      </c>
      <c r="K16" s="108" t="s">
        <v>2304</v>
      </c>
      <c r="N16" s="108" t="s">
        <v>2360</v>
      </c>
      <c r="O16" s="108">
        <v>6</v>
      </c>
      <c r="P16" s="39" t="str">
        <f>機器表!ET49</f>
        <v>ｾｯﾄ</v>
      </c>
      <c r="Q16" s="37">
        <f>機器表!EU49</f>
        <v>2370</v>
      </c>
      <c r="R16" s="37">
        <f>機器表!EV49</f>
        <v>700</v>
      </c>
      <c r="S16" s="57">
        <f>機器表!EW49</f>
        <v>0</v>
      </c>
      <c r="T16" s="108" t="s">
        <v>2280</v>
      </c>
      <c r="W16" s="234" t="s">
        <v>2361</v>
      </c>
      <c r="X16" s="234">
        <v>1</v>
      </c>
      <c r="Y16" s="224" t="str">
        <f>機器表!EL58</f>
        <v>ｾｯﾄ</v>
      </c>
      <c r="Z16" s="227">
        <f>機器表!EM58</f>
        <v>12400</v>
      </c>
      <c r="AA16" s="227">
        <f>機器表!EN58</f>
        <v>5220</v>
      </c>
      <c r="AB16" s="235">
        <f>機器表!EO58</f>
        <v>0</v>
      </c>
      <c r="AC16" s="234" t="s">
        <v>2280</v>
      </c>
      <c r="AE16" s="146" t="str">
        <f>CONCATENATE("①",管材表!K8,"　",管材表!L8)</f>
        <v>①SGP鋼管(白)　50A</v>
      </c>
      <c r="AF16" s="108">
        <v>4</v>
      </c>
      <c r="AG16" s="146" t="str">
        <f>管材表!M8</f>
        <v>m</v>
      </c>
      <c r="AH16" s="152">
        <f>管材表!N8</f>
        <v>9480</v>
      </c>
      <c r="AI16" s="152">
        <f>管材表!O8</f>
        <v>5020</v>
      </c>
      <c r="AJ16" s="151">
        <f>管材表!P8</f>
        <v>0.28999999999999998</v>
      </c>
      <c r="AK16" s="108" t="s">
        <v>2304</v>
      </c>
      <c r="AN16" s="25" t="s">
        <v>2362</v>
      </c>
      <c r="AO16" s="25">
        <v>1</v>
      </c>
      <c r="AP16" s="25" t="s">
        <v>49</v>
      </c>
      <c r="AQ16" s="28">
        <v>30000</v>
      </c>
      <c r="AR16" s="28">
        <v>15000</v>
      </c>
      <c r="AS16" s="29">
        <v>0</v>
      </c>
      <c r="AW16" s="108" t="s">
        <v>2363</v>
      </c>
      <c r="AX16" s="108">
        <v>1</v>
      </c>
      <c r="AY16" s="203" t="str">
        <f>機器表!V10</f>
        <v>台</v>
      </c>
      <c r="AZ16" s="202">
        <f>機器表!W10</f>
        <v>450000</v>
      </c>
      <c r="BA16" s="202">
        <f>機器表!X10</f>
        <v>176880</v>
      </c>
      <c r="BB16" s="204">
        <f>機器表!Y10</f>
        <v>0.7</v>
      </c>
      <c r="BC16" s="108" t="s">
        <v>2280</v>
      </c>
      <c r="BF16" s="108" t="s">
        <v>2364</v>
      </c>
      <c r="BG16" s="108">
        <v>1</v>
      </c>
      <c r="BH16" s="108" t="s">
        <v>2299</v>
      </c>
      <c r="BI16" s="144">
        <v>30000</v>
      </c>
      <c r="BJ16" s="144">
        <v>20000</v>
      </c>
      <c r="BK16" s="145"/>
      <c r="BL16" s="108">
        <v>0.8</v>
      </c>
      <c r="BO16" s="108" t="s">
        <v>2320</v>
      </c>
      <c r="BP16" s="108">
        <v>1</v>
      </c>
      <c r="BQ16" s="108" t="s">
        <v>2290</v>
      </c>
      <c r="BR16" s="148">
        <f>ROUND(項目表!$E$3*標準項!BU16,-3)</f>
        <v>28000</v>
      </c>
      <c r="BS16" s="148">
        <f>ROUND(項目表!$F$3*標準項!BU16,-3)</f>
        <v>17000</v>
      </c>
      <c r="BT16" s="145"/>
      <c r="BU16" s="157">
        <v>0.57999999999999996</v>
      </c>
    </row>
    <row r="17" spans="1:73">
      <c r="A17" s="25" t="s">
        <v>587</v>
      </c>
      <c r="B17" s="25" t="s">
        <v>2365</v>
      </c>
      <c r="C17" s="25">
        <f t="shared" si="0"/>
        <v>13</v>
      </c>
      <c r="E17" s="39" t="str">
        <f>CONCATENATE("①",管材表!BO7,"　",管材表!BP7)</f>
        <v>①ﾁｬｯｷ弁　40A(ｽｲﾝｸﾞ)</v>
      </c>
      <c r="F17" s="25">
        <v>1</v>
      </c>
      <c r="G17" s="39" t="str">
        <f>管材表!BQ7</f>
        <v>個</v>
      </c>
      <c r="H17" s="37">
        <f>管材表!BR7</f>
        <v>21200</v>
      </c>
      <c r="I17" s="37">
        <f>管材表!BS7</f>
        <v>13780</v>
      </c>
      <c r="J17" s="57">
        <f>管材表!BT7</f>
        <v>0.16</v>
      </c>
      <c r="K17" s="25" t="s">
        <v>2304</v>
      </c>
      <c r="N17" s="234" t="s">
        <v>2366</v>
      </c>
      <c r="O17" s="234">
        <v>1</v>
      </c>
      <c r="P17" s="224" t="str">
        <f>機器表!EL58</f>
        <v>ｾｯﾄ</v>
      </c>
      <c r="Q17" s="227">
        <f>機器表!EM58</f>
        <v>12400</v>
      </c>
      <c r="R17" s="227">
        <f>機器表!EN58</f>
        <v>5220</v>
      </c>
      <c r="S17" s="235">
        <f>機器表!EO58</f>
        <v>0</v>
      </c>
      <c r="T17" s="234" t="s">
        <v>2280</v>
      </c>
      <c r="W17" s="108" t="s">
        <v>2325</v>
      </c>
      <c r="X17" s="108">
        <v>1</v>
      </c>
      <c r="Y17" s="108" t="s">
        <v>2299</v>
      </c>
      <c r="Z17" s="144">
        <v>20000</v>
      </c>
      <c r="AA17" s="144">
        <v>10000</v>
      </c>
      <c r="AB17" s="145"/>
      <c r="AC17" s="108"/>
      <c r="AE17" s="174" t="str">
        <f>CONCATENATE("①",管材表!AA5,"　",管材表!AB5)</f>
        <v>①外面被覆鋼管　25A</v>
      </c>
      <c r="AF17" s="174">
        <v>16</v>
      </c>
      <c r="AG17" s="148" t="str">
        <f>管材表!AC5</f>
        <v>m</v>
      </c>
      <c r="AH17" s="148">
        <f>管材表!AD5</f>
        <v>3680</v>
      </c>
      <c r="AI17" s="148">
        <f>管材表!AE5</f>
        <v>2760</v>
      </c>
      <c r="AJ17" s="177">
        <f>管材表!AF5</f>
        <v>0.17</v>
      </c>
      <c r="AK17" s="108" t="s">
        <v>2304</v>
      </c>
      <c r="AW17" s="108" t="s">
        <v>2289</v>
      </c>
      <c r="AX17" s="108">
        <v>1</v>
      </c>
      <c r="AY17" s="108" t="s">
        <v>2290</v>
      </c>
      <c r="AZ17" s="148">
        <f>ROUND(項目表!$E$3*標準項!BC17,-3)</f>
        <v>33000</v>
      </c>
      <c r="BA17" s="148">
        <f>ROUND(項目表!$F$3*標準項!BC17,-3)</f>
        <v>21000</v>
      </c>
      <c r="BB17" s="145"/>
      <c r="BC17" s="149">
        <v>0.7</v>
      </c>
      <c r="BF17" s="108" t="s">
        <v>2325</v>
      </c>
      <c r="BG17" s="108">
        <v>1</v>
      </c>
      <c r="BH17" s="108" t="s">
        <v>2299</v>
      </c>
      <c r="BI17" s="144">
        <v>30000</v>
      </c>
      <c r="BJ17" s="144">
        <v>20000</v>
      </c>
      <c r="BK17" s="145">
        <v>0</v>
      </c>
      <c r="BL17" s="108"/>
      <c r="BO17" s="108" t="s">
        <v>2325</v>
      </c>
      <c r="BP17" s="108">
        <v>1</v>
      </c>
      <c r="BQ17" s="108" t="s">
        <v>2299</v>
      </c>
      <c r="BR17" s="148">
        <v>20000</v>
      </c>
      <c r="BS17" s="148">
        <v>10000</v>
      </c>
      <c r="BT17" s="145"/>
      <c r="BU17" s="108"/>
    </row>
    <row r="18" spans="1:73">
      <c r="A18" s="25" t="s">
        <v>761</v>
      </c>
      <c r="B18" s="25" t="s">
        <v>2367</v>
      </c>
      <c r="C18" s="25">
        <f t="shared" si="0"/>
        <v>14</v>
      </c>
      <c r="E18" s="146" t="str">
        <f>CONCATENATE("①",管材表!DC3,"　",管材表!DD3)</f>
        <v>①Yｽﾄﾚｰﾅ　15A</v>
      </c>
      <c r="F18" s="108">
        <v>1</v>
      </c>
      <c r="G18" s="146" t="str">
        <f>管材表!DE3</f>
        <v>個</v>
      </c>
      <c r="H18" s="152">
        <f>管材表!DF3</f>
        <v>6080</v>
      </c>
      <c r="I18" s="152">
        <f>管材表!DG3</f>
        <v>3950</v>
      </c>
      <c r="J18" s="151">
        <f>管材表!DH3</f>
        <v>0.08</v>
      </c>
      <c r="K18" s="108" t="s">
        <v>2304</v>
      </c>
      <c r="N18" s="108" t="s">
        <v>2325</v>
      </c>
      <c r="O18" s="108">
        <v>1</v>
      </c>
      <c r="P18" s="108" t="s">
        <v>2299</v>
      </c>
      <c r="Q18" s="144">
        <v>20000</v>
      </c>
      <c r="R18" s="144">
        <v>10000</v>
      </c>
      <c r="S18" s="145"/>
      <c r="T18" s="108"/>
      <c r="AE18" s="108" t="s">
        <v>2368</v>
      </c>
      <c r="AF18" s="108">
        <v>1</v>
      </c>
      <c r="AG18" s="108" t="s">
        <v>1821</v>
      </c>
      <c r="AH18" s="144">
        <f>管材表!DV5</f>
        <v>5700</v>
      </c>
      <c r="AI18" s="144">
        <f>管材表!DW5</f>
        <v>2620</v>
      </c>
      <c r="AJ18" s="145">
        <f>管材表!DX5</f>
        <v>0.14000000000000001</v>
      </c>
      <c r="AK18" s="108" t="s">
        <v>2304</v>
      </c>
      <c r="AN18" s="51" t="s">
        <v>2369</v>
      </c>
      <c r="AW18" s="39" t="str">
        <f>CONCATENATE("③",電材表!Q18,"　",電材表!R18)</f>
        <v>③感震器　BES-100</v>
      </c>
      <c r="AX18" s="108">
        <v>1</v>
      </c>
      <c r="AY18" s="146" t="str">
        <f>電材表!S18</f>
        <v>個</v>
      </c>
      <c r="AZ18" s="152">
        <f>電材表!T18</f>
        <v>20100</v>
      </c>
      <c r="BA18" s="152">
        <f>電材表!U18</f>
        <v>5580</v>
      </c>
      <c r="BB18" s="151">
        <f>電材表!V18</f>
        <v>0</v>
      </c>
      <c r="BC18" s="25" t="s">
        <v>2296</v>
      </c>
    </row>
    <row r="19" spans="1:73">
      <c r="A19" s="25" t="s">
        <v>793</v>
      </c>
      <c r="B19" s="25" t="s">
        <v>2370</v>
      </c>
      <c r="C19" s="25">
        <f t="shared" si="0"/>
        <v>15</v>
      </c>
      <c r="E19" s="108" t="s">
        <v>2371</v>
      </c>
      <c r="F19" s="108">
        <v>1</v>
      </c>
      <c r="G19" s="108" t="s">
        <v>2299</v>
      </c>
      <c r="H19" s="144">
        <v>5000</v>
      </c>
      <c r="I19" s="144">
        <v>3000</v>
      </c>
      <c r="J19" s="145">
        <v>0</v>
      </c>
      <c r="K19" s="108"/>
      <c r="AE19" s="146" t="str">
        <f>CONCATENATE("①",管材表!CM8,"　",管材表!CN8)</f>
        <v>①ﾏﾚｰﾌﾞﾙ弁　50A</v>
      </c>
      <c r="AF19" s="108">
        <v>1</v>
      </c>
      <c r="AG19" s="146" t="str">
        <f>管材表!CO8</f>
        <v>個</v>
      </c>
      <c r="AH19" s="152">
        <f>管材表!CP8</f>
        <v>41100</v>
      </c>
      <c r="AI19" s="152">
        <f>管材表!CQ8</f>
        <v>26720</v>
      </c>
      <c r="AJ19" s="151">
        <f>管材表!CR8</f>
        <v>0.18</v>
      </c>
      <c r="AK19" s="108" t="s">
        <v>2304</v>
      </c>
      <c r="AN19" s="25" t="s">
        <v>2372</v>
      </c>
      <c r="AO19" s="25">
        <v>1</v>
      </c>
      <c r="AP19" s="39" t="str">
        <f>機器表!DF4</f>
        <v>ｾｯﾄ</v>
      </c>
      <c r="AQ19" s="37">
        <f>機器表!DG4</f>
        <v>1357000</v>
      </c>
      <c r="AR19" s="37">
        <f>機器表!DH4</f>
        <v>746140</v>
      </c>
      <c r="AS19" s="57">
        <f>機器表!DI4</f>
        <v>2.9</v>
      </c>
      <c r="AT19" s="25" t="s">
        <v>2280</v>
      </c>
      <c r="AW19" s="108" t="s">
        <v>2305</v>
      </c>
      <c r="AX19" s="108">
        <v>1</v>
      </c>
      <c r="AY19" s="39" t="str">
        <f>機器表!EL7</f>
        <v>ｾｯﾄ</v>
      </c>
      <c r="AZ19" s="37">
        <f>機器表!EM7</f>
        <v>60400</v>
      </c>
      <c r="BA19" s="37">
        <f>機器表!EN7</f>
        <v>20760</v>
      </c>
      <c r="BB19" s="57">
        <f>機器表!EO7</f>
        <v>0.5</v>
      </c>
      <c r="BC19" s="108" t="s">
        <v>2280</v>
      </c>
    </row>
    <row r="20" spans="1:73">
      <c r="A20" s="25" t="s">
        <v>857</v>
      </c>
      <c r="B20" s="25" t="s">
        <v>2373</v>
      </c>
      <c r="C20" s="25">
        <f t="shared" si="0"/>
        <v>16</v>
      </c>
      <c r="E20" s="108" t="s">
        <v>2320</v>
      </c>
      <c r="F20" s="108">
        <v>1</v>
      </c>
      <c r="G20" s="108" t="s">
        <v>2290</v>
      </c>
      <c r="H20" s="148">
        <f>ROUND(項目表!$E$3*標準項!K20,-3)</f>
        <v>116000</v>
      </c>
      <c r="I20" s="148">
        <f>ROUND(項目表!$F$3*標準項!K20,-3)</f>
        <v>72000</v>
      </c>
      <c r="J20" s="145"/>
      <c r="K20" s="174">
        <v>2.44</v>
      </c>
      <c r="AE20" s="146" t="str">
        <f>CONCATENATE("①",管材表!CM5,"　",管材表!CN5)</f>
        <v>①ﾏﾚｰﾌﾞﾙ弁　25A</v>
      </c>
      <c r="AF20" s="108">
        <v>3</v>
      </c>
      <c r="AG20" s="146" t="str">
        <f>管材表!CO5</f>
        <v>個</v>
      </c>
      <c r="AH20" s="152">
        <f>管材表!CP5</f>
        <v>17500</v>
      </c>
      <c r="AI20" s="152">
        <f>管材表!CQ5</f>
        <v>11380</v>
      </c>
      <c r="AJ20" s="151">
        <f>管材表!CR5</f>
        <v>0.12</v>
      </c>
      <c r="AK20" s="108" t="s">
        <v>2304</v>
      </c>
      <c r="AN20" s="25" t="s">
        <v>2374</v>
      </c>
      <c r="AS20" s="29">
        <v>0</v>
      </c>
      <c r="AW20" s="108" t="s">
        <v>2311</v>
      </c>
      <c r="AX20" s="108">
        <v>1</v>
      </c>
      <c r="AY20" s="39" t="str">
        <f>機器表!EL24</f>
        <v>本</v>
      </c>
      <c r="AZ20" s="37">
        <f>機器表!EM24</f>
        <v>8470</v>
      </c>
      <c r="BA20" s="37">
        <f>機器表!EN24</f>
        <v>2090</v>
      </c>
      <c r="BB20" s="57">
        <f>機器表!EO24</f>
        <v>0.1</v>
      </c>
      <c r="BC20" s="108" t="s">
        <v>2280</v>
      </c>
      <c r="BO20" s="51" t="s">
        <v>933</v>
      </c>
      <c r="BQ20" s="25"/>
      <c r="BT20" s="29"/>
    </row>
    <row r="21" spans="1:73">
      <c r="A21" s="25" t="s">
        <v>887</v>
      </c>
      <c r="B21" s="25" t="s">
        <v>2375</v>
      </c>
      <c r="C21" s="25">
        <f t="shared" si="0"/>
        <v>17</v>
      </c>
      <c r="E21" s="108" t="s">
        <v>2376</v>
      </c>
      <c r="F21" s="108">
        <v>1</v>
      </c>
      <c r="G21" s="108" t="s">
        <v>2299</v>
      </c>
      <c r="H21" s="144">
        <v>5000</v>
      </c>
      <c r="I21" s="144">
        <v>3000</v>
      </c>
      <c r="J21" s="145"/>
      <c r="K21" s="108">
        <v>0.12</v>
      </c>
      <c r="AE21" s="108" t="s">
        <v>2377</v>
      </c>
      <c r="AF21" s="108">
        <v>1</v>
      </c>
      <c r="AG21" s="108" t="s">
        <v>1824</v>
      </c>
      <c r="AH21" s="144">
        <f>管材表!FB10</f>
        <v>15000</v>
      </c>
      <c r="AI21" s="144">
        <f>管材表!FC10</f>
        <v>10000</v>
      </c>
      <c r="AJ21" s="145"/>
      <c r="AK21" s="108" t="s">
        <v>2304</v>
      </c>
      <c r="AN21" s="108" t="s">
        <v>2289</v>
      </c>
      <c r="AO21" s="25">
        <v>1</v>
      </c>
      <c r="AP21" s="25" t="s">
        <v>49</v>
      </c>
      <c r="AQ21" s="28">
        <v>165000</v>
      </c>
      <c r="AR21" s="28">
        <v>88000</v>
      </c>
      <c r="AS21" s="29">
        <v>0</v>
      </c>
      <c r="AW21" s="108" t="s">
        <v>2316</v>
      </c>
      <c r="AX21" s="108">
        <v>1</v>
      </c>
      <c r="AY21" s="39" t="str">
        <f>機器表!EL36</f>
        <v>個</v>
      </c>
      <c r="AZ21" s="37">
        <f>機器表!EM36</f>
        <v>6490</v>
      </c>
      <c r="BA21" s="37">
        <f>機器表!EN36</f>
        <v>1360</v>
      </c>
      <c r="BB21" s="57">
        <f>機器表!EO36</f>
        <v>0.1</v>
      </c>
      <c r="BC21" s="108" t="s">
        <v>2280</v>
      </c>
      <c r="BO21" s="25" t="s">
        <v>2378</v>
      </c>
      <c r="BP21" s="25">
        <v>1</v>
      </c>
      <c r="BQ21" s="203" t="str">
        <f>機器表!V22</f>
        <v>台</v>
      </c>
      <c r="BR21" s="202">
        <f>機器表!W22</f>
        <v>413000</v>
      </c>
      <c r="BS21" s="202">
        <f>機器表!X22</f>
        <v>177140</v>
      </c>
      <c r="BT21" s="204">
        <f>機器表!Y22</f>
        <v>0.7</v>
      </c>
      <c r="BU21" s="25" t="s">
        <v>2280</v>
      </c>
    </row>
    <row r="22" spans="1:73">
      <c r="A22" s="25" t="s">
        <v>931</v>
      </c>
      <c r="B22" s="25" t="s">
        <v>2379</v>
      </c>
      <c r="C22" s="25">
        <f t="shared" si="0"/>
        <v>18</v>
      </c>
      <c r="E22" s="108" t="s">
        <v>2325</v>
      </c>
      <c r="F22" s="108">
        <v>1</v>
      </c>
      <c r="G22" s="108" t="s">
        <v>2299</v>
      </c>
      <c r="H22" s="148">
        <v>15000</v>
      </c>
      <c r="I22" s="148">
        <v>7500</v>
      </c>
      <c r="J22" s="145">
        <v>0</v>
      </c>
      <c r="K22" s="108"/>
      <c r="AE22" s="108" t="s">
        <v>2371</v>
      </c>
      <c r="AF22" s="108">
        <v>1</v>
      </c>
      <c r="AG22" s="108" t="s">
        <v>2299</v>
      </c>
      <c r="AH22" s="148">
        <v>9000</v>
      </c>
      <c r="AI22" s="148">
        <v>5000</v>
      </c>
      <c r="AJ22" s="145"/>
      <c r="AK22" s="108"/>
      <c r="AN22" s="174" t="s">
        <v>2310</v>
      </c>
      <c r="AO22" s="126">
        <v>1</v>
      </c>
      <c r="AP22" s="126" t="s">
        <v>49</v>
      </c>
      <c r="AQ22" s="73">
        <v>200000</v>
      </c>
      <c r="AR22" s="73">
        <v>100000</v>
      </c>
      <c r="AS22" s="173">
        <v>0</v>
      </c>
      <c r="AW22" s="108" t="s">
        <v>2318</v>
      </c>
      <c r="AX22" s="108">
        <v>1</v>
      </c>
      <c r="AY22" s="108" t="s">
        <v>1824</v>
      </c>
      <c r="AZ22" s="144">
        <v>15000</v>
      </c>
      <c r="BA22" s="144">
        <v>10000</v>
      </c>
      <c r="BB22" s="145">
        <v>0</v>
      </c>
      <c r="BC22" s="108"/>
      <c r="BF22" s="143" t="s">
        <v>2380</v>
      </c>
      <c r="BG22" s="108"/>
      <c r="BH22" s="108"/>
      <c r="BI22" s="144"/>
      <c r="BJ22" s="144"/>
      <c r="BK22" s="145"/>
      <c r="BL22" s="108"/>
      <c r="BO22" s="25" t="s">
        <v>2289</v>
      </c>
      <c r="BP22" s="25">
        <v>1</v>
      </c>
      <c r="BQ22" s="25" t="s">
        <v>2290</v>
      </c>
      <c r="BR22" s="73">
        <f>ROUND(項目表!$E$3*標準項!BU22,-3)</f>
        <v>33000</v>
      </c>
      <c r="BS22" s="73">
        <f>ROUND(項目表!$F$3*標準項!BU22,-3)</f>
        <v>21000</v>
      </c>
      <c r="BT22" s="29"/>
      <c r="BU22" s="95">
        <v>0.7</v>
      </c>
    </row>
    <row r="23" spans="1:73">
      <c r="A23" s="25" t="s">
        <v>2381</v>
      </c>
      <c r="AE23" s="126" t="s">
        <v>2382</v>
      </c>
      <c r="AF23" s="174">
        <v>1</v>
      </c>
      <c r="AG23" s="174" t="s">
        <v>2299</v>
      </c>
      <c r="AH23" s="73">
        <v>15000</v>
      </c>
      <c r="AI23" s="73">
        <v>8000</v>
      </c>
      <c r="AN23" s="108" t="s">
        <v>2315</v>
      </c>
      <c r="AO23" s="25">
        <v>1</v>
      </c>
      <c r="AP23" s="25" t="s">
        <v>49</v>
      </c>
      <c r="AQ23" s="28">
        <v>9600</v>
      </c>
      <c r="AR23" s="28">
        <v>6000</v>
      </c>
      <c r="AS23" s="29">
        <v>0</v>
      </c>
      <c r="AW23" s="108" t="s">
        <v>2327</v>
      </c>
      <c r="AX23" s="108">
        <v>1</v>
      </c>
      <c r="AY23" s="108" t="s">
        <v>2299</v>
      </c>
      <c r="AZ23" s="148">
        <f>ROUND(項目表!$E$3*BC23,-3)</f>
        <v>36000</v>
      </c>
      <c r="BA23" s="148">
        <f>ROUND(項目表!$F$3*標準項!BC23,-3)</f>
        <v>22000</v>
      </c>
      <c r="BB23" s="145"/>
      <c r="BC23" s="157">
        <v>0.75</v>
      </c>
      <c r="BF23" s="108" t="s">
        <v>2383</v>
      </c>
      <c r="BG23" s="108">
        <v>96</v>
      </c>
      <c r="BH23" s="108" t="s">
        <v>1821</v>
      </c>
      <c r="BI23" s="144">
        <f>機器表!BS52</f>
        <v>80000</v>
      </c>
      <c r="BJ23" s="144">
        <f>機器表!BT52</f>
        <v>32000</v>
      </c>
      <c r="BK23" s="145">
        <v>0.47</v>
      </c>
      <c r="BL23" s="108" t="s">
        <v>2280</v>
      </c>
      <c r="BO23" s="58" t="str">
        <f>CONCATENATE("③",電材表!Q10,"           ",電材表!R10)</f>
        <v>③CO2ｺﾝﾄﾛｰﾗ           CGC-600SET14</v>
      </c>
      <c r="BP23" s="25">
        <v>1</v>
      </c>
      <c r="BQ23" s="39" t="str">
        <f>電材表!S10</f>
        <v>台</v>
      </c>
      <c r="BR23" s="37">
        <f>電材表!T10</f>
        <v>155000</v>
      </c>
      <c r="BS23" s="37">
        <f>電材表!U10</f>
        <v>89490</v>
      </c>
      <c r="BT23" s="57">
        <f>電材表!V10</f>
        <v>0</v>
      </c>
      <c r="BU23" s="25" t="s">
        <v>2296</v>
      </c>
    </row>
    <row r="24" spans="1:73">
      <c r="A24" s="25" t="s">
        <v>518</v>
      </c>
      <c r="B24" s="25" t="s">
        <v>1594</v>
      </c>
      <c r="C24" s="25">
        <v>19</v>
      </c>
      <c r="N24" s="51" t="s">
        <v>399</v>
      </c>
      <c r="W24" s="51" t="s">
        <v>441</v>
      </c>
      <c r="AE24" s="108" t="s">
        <v>2384</v>
      </c>
      <c r="AF24" s="108">
        <v>1</v>
      </c>
      <c r="AG24" s="108" t="s">
        <v>2290</v>
      </c>
      <c r="AH24" s="148">
        <f>ROUND(項目表!$E$3*標準項!AK24,-3)</f>
        <v>162000</v>
      </c>
      <c r="AI24" s="148">
        <f>ROUND(項目表!$F$3*標準項!AK24,-3)</f>
        <v>101000</v>
      </c>
      <c r="AJ24" s="145"/>
      <c r="AK24" s="174">
        <v>3.42</v>
      </c>
      <c r="AN24" s="25" t="s">
        <v>2321</v>
      </c>
      <c r="AO24" s="25">
        <v>1</v>
      </c>
      <c r="AP24" s="25" t="s">
        <v>49</v>
      </c>
      <c r="AQ24" s="28">
        <v>6000</v>
      </c>
      <c r="AR24" s="28">
        <v>3000</v>
      </c>
      <c r="AS24" s="29">
        <v>0</v>
      </c>
      <c r="AW24" s="108" t="s">
        <v>2334</v>
      </c>
      <c r="AX24" s="108">
        <v>1</v>
      </c>
      <c r="AY24" s="108" t="s">
        <v>2299</v>
      </c>
      <c r="AZ24" s="144">
        <v>15000</v>
      </c>
      <c r="BA24" s="144">
        <v>10000</v>
      </c>
      <c r="BB24" s="145">
        <v>0</v>
      </c>
      <c r="BC24" s="108"/>
      <c r="BF24" s="108" t="s">
        <v>2298</v>
      </c>
      <c r="BG24" s="108">
        <v>1</v>
      </c>
      <c r="BH24" s="108" t="s">
        <v>2299</v>
      </c>
      <c r="BI24" s="144">
        <f>ROUND(項目表!$E$3*BL24,-3)</f>
        <v>428000</v>
      </c>
      <c r="BJ24" s="144">
        <f>ROUND(項目表!$F$3*BL24,-3)</f>
        <v>265000</v>
      </c>
      <c r="BK24" s="145"/>
      <c r="BL24" s="108">
        <v>9.02</v>
      </c>
      <c r="BO24" s="58" t="str">
        <f>CONCATENATE("③",電材表!I9,"　　　　 ",電材表!J9)</f>
        <v>③室温ｾﾝｻｰｾｯﾄ　　　　 TS-102P</v>
      </c>
      <c r="BP24" s="25">
        <v>1</v>
      </c>
      <c r="BQ24" s="39" t="str">
        <f>電材表!K9</f>
        <v>個</v>
      </c>
      <c r="BR24" s="37">
        <f>電材表!L9</f>
        <v>18100</v>
      </c>
      <c r="BS24" s="37">
        <f>電材表!M9</f>
        <v>2530</v>
      </c>
      <c r="BT24" s="57">
        <f>電材表!N9</f>
        <v>0</v>
      </c>
      <c r="BU24" s="25" t="s">
        <v>2295</v>
      </c>
    </row>
    <row r="25" spans="1:73">
      <c r="A25" s="25" t="s">
        <v>555</v>
      </c>
      <c r="B25" s="25" t="s">
        <v>2385</v>
      </c>
      <c r="C25" s="25">
        <f t="shared" ref="C25:C31" si="1">C24+1</f>
        <v>20</v>
      </c>
      <c r="N25" s="234" t="s">
        <v>2386</v>
      </c>
      <c r="O25" s="108">
        <v>1</v>
      </c>
      <c r="P25" s="147" t="str">
        <f>機器表!N6</f>
        <v>台</v>
      </c>
      <c r="Q25" s="36">
        <f>機器表!O6</f>
        <v>1129000</v>
      </c>
      <c r="R25" s="36">
        <f>機器表!P6</f>
        <v>490810</v>
      </c>
      <c r="S25" s="56">
        <f>機器表!Q6</f>
        <v>1.45</v>
      </c>
      <c r="T25" s="108" t="s">
        <v>2280</v>
      </c>
      <c r="W25" s="234" t="s">
        <v>2387</v>
      </c>
      <c r="X25" s="108">
        <v>1</v>
      </c>
      <c r="Y25" s="203" t="str">
        <f>機器表!N7</f>
        <v>台</v>
      </c>
      <c r="Z25" s="202">
        <f>機器表!O7</f>
        <v>1141000</v>
      </c>
      <c r="AA25" s="202">
        <f>機器表!P7</f>
        <v>509220</v>
      </c>
      <c r="AB25" s="204">
        <f>機器表!Q7</f>
        <v>1.45</v>
      </c>
      <c r="AC25" s="108" t="s">
        <v>2280</v>
      </c>
      <c r="AE25" s="108" t="s">
        <v>2388</v>
      </c>
      <c r="AF25" s="108">
        <v>1</v>
      </c>
      <c r="AG25" s="108" t="s">
        <v>2299</v>
      </c>
      <c r="AH25" s="144">
        <v>12000</v>
      </c>
      <c r="AI25" s="144">
        <v>5000</v>
      </c>
      <c r="AJ25" s="145"/>
      <c r="AK25" s="108"/>
      <c r="AN25" s="25" t="s">
        <v>2326</v>
      </c>
      <c r="AO25" s="25">
        <v>1</v>
      </c>
      <c r="AP25" s="25" t="s">
        <v>49</v>
      </c>
      <c r="AQ25" s="28">
        <v>6000</v>
      </c>
      <c r="AR25" s="28">
        <v>3000</v>
      </c>
      <c r="AW25" s="108" t="s">
        <v>2325</v>
      </c>
      <c r="AX25" s="108">
        <v>1</v>
      </c>
      <c r="AY25" s="108" t="s">
        <v>2299</v>
      </c>
      <c r="AZ25" s="73">
        <v>15000</v>
      </c>
      <c r="BA25" s="73">
        <v>7500</v>
      </c>
      <c r="BB25" s="145">
        <v>0</v>
      </c>
      <c r="BF25" s="108" t="s">
        <v>2306</v>
      </c>
      <c r="BG25" s="108">
        <v>48</v>
      </c>
      <c r="BH25" s="108" t="s">
        <v>1821</v>
      </c>
      <c r="BI25" s="144">
        <f>機器表!GA4</f>
        <v>22000</v>
      </c>
      <c r="BJ25" s="144">
        <f>機器表!GB4</f>
        <v>11000</v>
      </c>
      <c r="BK25" s="145">
        <v>0.15</v>
      </c>
      <c r="BL25" s="108" t="s">
        <v>2280</v>
      </c>
      <c r="BO25" s="58" t="str">
        <f>CONCATENATE("③",電材表!Q19,"　　",電材表!R19)</f>
        <v>③不完全燃焼警報器　　SG-35</v>
      </c>
      <c r="BP25" s="25">
        <v>1</v>
      </c>
      <c r="BQ25" s="39" t="str">
        <f>電材表!S19</f>
        <v>個</v>
      </c>
      <c r="BR25" s="37">
        <f>電材表!T19</f>
        <v>85800</v>
      </c>
      <c r="BS25" s="37">
        <f>電材表!U19</f>
        <v>31120</v>
      </c>
      <c r="BT25" s="57">
        <f>電材表!V19</f>
        <v>0</v>
      </c>
      <c r="BU25" s="25" t="s">
        <v>2295</v>
      </c>
    </row>
    <row r="26" spans="1:73">
      <c r="A26" s="25" t="s">
        <v>622</v>
      </c>
      <c r="B26" s="25" t="s">
        <v>2389</v>
      </c>
      <c r="C26" s="25">
        <f t="shared" si="1"/>
        <v>21</v>
      </c>
      <c r="E26" s="51" t="s">
        <v>445</v>
      </c>
      <c r="N26" s="108" t="s">
        <v>2289</v>
      </c>
      <c r="O26" s="108">
        <v>1</v>
      </c>
      <c r="P26" s="108" t="s">
        <v>2290</v>
      </c>
      <c r="Q26" s="148">
        <f>ROUND(項目表!$E$3*標準項!T26,-3)</f>
        <v>69000</v>
      </c>
      <c r="R26" s="148">
        <f>ROUND(項目表!$F$3*標準項!T26,-3)</f>
        <v>43000</v>
      </c>
      <c r="S26" s="145"/>
      <c r="T26" s="149">
        <v>1.45</v>
      </c>
      <c r="W26" s="108" t="s">
        <v>2289</v>
      </c>
      <c r="X26" s="108">
        <v>1</v>
      </c>
      <c r="Y26" s="108" t="s">
        <v>2290</v>
      </c>
      <c r="Z26" s="148">
        <f>ROUND(項目表!$E$3*標準項!AC26,-3)</f>
        <v>69000</v>
      </c>
      <c r="AA26" s="148">
        <f>ROUND(項目表!$F$3*標準項!AC26,-3)</f>
        <v>43000</v>
      </c>
      <c r="AB26" s="145"/>
      <c r="AC26" s="149">
        <v>1.45</v>
      </c>
      <c r="AN26" s="25" t="s">
        <v>2332</v>
      </c>
      <c r="AO26" s="25">
        <v>3</v>
      </c>
      <c r="AP26" s="39" t="str">
        <f>機器表!FJ3</f>
        <v>本</v>
      </c>
      <c r="AQ26" s="37">
        <f>機器表!FK3</f>
        <v>11600</v>
      </c>
      <c r="AR26" s="37">
        <f>機器表!FL3</f>
        <v>2710</v>
      </c>
      <c r="AS26" s="57">
        <f>機器表!FM3</f>
        <v>0</v>
      </c>
      <c r="AT26" s="25" t="s">
        <v>2280</v>
      </c>
      <c r="BC26" s="108"/>
      <c r="BF26" s="108" t="s">
        <v>2308</v>
      </c>
      <c r="BG26" s="108">
        <v>1</v>
      </c>
      <c r="BH26" s="108" t="s">
        <v>2299</v>
      </c>
      <c r="BI26" s="144">
        <f>ROUND(項目表!$E$3*BL26,-3)</f>
        <v>245000</v>
      </c>
      <c r="BJ26" s="144">
        <f>ROUND(項目表!$F$3*BL26,-3)</f>
        <v>152000</v>
      </c>
      <c r="BK26" s="145"/>
      <c r="BL26" s="108">
        <v>5.16</v>
      </c>
      <c r="BO26" s="58" t="str">
        <f>CONCATENATE("③",電材表!Q18,"　　　　　　　",電材表!R18)</f>
        <v>③感震器　　　　　　　BES-100</v>
      </c>
      <c r="BP26" s="25">
        <v>1</v>
      </c>
      <c r="BQ26" s="39" t="str">
        <f>電材表!S18</f>
        <v>個</v>
      </c>
      <c r="BR26" s="37">
        <f>電材表!T18</f>
        <v>20100</v>
      </c>
      <c r="BS26" s="37">
        <f>電材表!U18</f>
        <v>5580</v>
      </c>
      <c r="BT26" s="57">
        <f>電材表!V18</f>
        <v>0</v>
      </c>
      <c r="BU26" s="25" t="s">
        <v>2295</v>
      </c>
    </row>
    <row r="27" spans="1:73">
      <c r="A27" s="25" t="s">
        <v>656</v>
      </c>
      <c r="B27" s="25" t="s">
        <v>2390</v>
      </c>
      <c r="C27" s="25">
        <f t="shared" si="1"/>
        <v>22</v>
      </c>
      <c r="E27" s="146" t="str">
        <f>CONCATENATE("○",機器表!AB7,"　",機器表!AC7)</f>
        <v>○ﾊｳｽﾎﾞｲﾗ　HB-407TGA</v>
      </c>
      <c r="F27" s="108">
        <v>1</v>
      </c>
      <c r="G27" s="147" t="str">
        <f>機器表!AD7</f>
        <v>台</v>
      </c>
      <c r="H27" s="202">
        <f>機器表!AE7</f>
        <v>944000</v>
      </c>
      <c r="I27" s="202">
        <f>機器表!AF7</f>
        <v>458400</v>
      </c>
      <c r="J27" s="56">
        <f>機器表!AG7</f>
        <v>1.1499999999999999</v>
      </c>
      <c r="K27" s="108" t="s">
        <v>2280</v>
      </c>
      <c r="N27" s="39" t="str">
        <f>CONCATENATE("③",電材表!Q18,"　",電材表!R18)</f>
        <v>③感震器　BES-100</v>
      </c>
      <c r="O27" s="108">
        <v>1</v>
      </c>
      <c r="P27" s="146" t="str">
        <f>電材表!S18</f>
        <v>個</v>
      </c>
      <c r="Q27" s="37">
        <f>電材表!T18</f>
        <v>20100</v>
      </c>
      <c r="R27" s="37">
        <f>電材表!U18</f>
        <v>5580</v>
      </c>
      <c r="S27" s="57">
        <f>電材表!V18</f>
        <v>0</v>
      </c>
      <c r="T27" s="25" t="s">
        <v>2296</v>
      </c>
      <c r="W27" s="39" t="str">
        <f>CONCATENATE("③",電材表!Q18,"　",電材表!R18)</f>
        <v>③感震器　BES-100</v>
      </c>
      <c r="X27" s="108">
        <v>1</v>
      </c>
      <c r="Y27" s="146" t="str">
        <f>電材表!S18</f>
        <v>個</v>
      </c>
      <c r="Z27" s="37">
        <f>電材表!T18</f>
        <v>20100</v>
      </c>
      <c r="AA27" s="37">
        <f>電材表!U18</f>
        <v>5580</v>
      </c>
      <c r="AB27" s="57">
        <f>電材表!V18</f>
        <v>0</v>
      </c>
      <c r="AC27" s="25" t="s">
        <v>2296</v>
      </c>
      <c r="AE27" s="51" t="s">
        <v>538</v>
      </c>
      <c r="AN27" s="32" t="s">
        <v>2357</v>
      </c>
      <c r="AO27" s="32">
        <v>1</v>
      </c>
      <c r="AP27" s="32" t="s">
        <v>77</v>
      </c>
      <c r="AQ27" s="194">
        <f>機器表!DG10</f>
        <v>15000</v>
      </c>
      <c r="AR27" s="194">
        <f>機器表!DH10</f>
        <v>9010</v>
      </c>
      <c r="AS27" s="95">
        <v>0</v>
      </c>
      <c r="AT27" s="32" t="s">
        <v>2333</v>
      </c>
      <c r="BF27" s="146" t="str">
        <f>CONCATENATE("①",管材表!DK15,"　",管材表!DL15)</f>
        <v>①電動ﾎﾞｰﾙ弁(3方)　50A</v>
      </c>
      <c r="BG27" s="108">
        <v>1</v>
      </c>
      <c r="BH27" s="146" t="str">
        <f>管材表!DM15</f>
        <v xml:space="preserve">個  </v>
      </c>
      <c r="BI27" s="146">
        <f>管材表!DN15</f>
        <v>85300</v>
      </c>
      <c r="BJ27" s="146">
        <f>管材表!DO15</f>
        <v>55450</v>
      </c>
      <c r="BK27" s="146">
        <f>管材表!DP15</f>
        <v>0.18</v>
      </c>
      <c r="BL27" s="108" t="s">
        <v>2304</v>
      </c>
      <c r="BO27" s="25" t="s">
        <v>2308</v>
      </c>
      <c r="BP27" s="25">
        <v>1</v>
      </c>
      <c r="BQ27" s="25" t="s">
        <v>2299</v>
      </c>
      <c r="BR27" s="28">
        <v>11000</v>
      </c>
      <c r="BS27" s="28">
        <v>7000</v>
      </c>
      <c r="BT27" s="29"/>
    </row>
    <row r="28" spans="1:73">
      <c r="A28" s="25" t="s">
        <v>252</v>
      </c>
      <c r="B28" s="25" t="s">
        <v>2391</v>
      </c>
      <c r="C28" s="25">
        <f t="shared" si="1"/>
        <v>23</v>
      </c>
      <c r="E28" s="108" t="s">
        <v>2289</v>
      </c>
      <c r="F28" s="108">
        <v>1</v>
      </c>
      <c r="G28" s="108" t="s">
        <v>2290</v>
      </c>
      <c r="H28" s="148">
        <f>ROUND(項目表!$E$3*標準項!K28,-3)</f>
        <v>55000</v>
      </c>
      <c r="I28" s="148">
        <f>ROUND(項目表!$F$3*標準項!K28,-3)</f>
        <v>34000</v>
      </c>
      <c r="J28" s="145"/>
      <c r="K28" s="160">
        <v>1.1499999999999999</v>
      </c>
      <c r="N28" s="234" t="s">
        <v>2302</v>
      </c>
      <c r="O28" s="108">
        <v>1</v>
      </c>
      <c r="P28" s="39" t="str">
        <f>機器表!EL15</f>
        <v>ｾｯﾄ</v>
      </c>
      <c r="Q28" s="37">
        <f>機器表!EM15</f>
        <v>119000</v>
      </c>
      <c r="R28" s="37">
        <f>機器表!EN15</f>
        <v>35870</v>
      </c>
      <c r="S28" s="57">
        <f>機器表!EO15</f>
        <v>0.5</v>
      </c>
      <c r="T28" s="108" t="s">
        <v>2280</v>
      </c>
      <c r="W28" s="234" t="s">
        <v>2302</v>
      </c>
      <c r="X28" s="108">
        <v>1</v>
      </c>
      <c r="Y28" s="39" t="str">
        <f>機器表!EL15</f>
        <v>ｾｯﾄ</v>
      </c>
      <c r="Z28" s="37">
        <f>機器表!EM15</f>
        <v>119000</v>
      </c>
      <c r="AA28" s="37">
        <f>機器表!EN15</f>
        <v>35870</v>
      </c>
      <c r="AB28" s="57">
        <f>機器表!EO15</f>
        <v>0.5</v>
      </c>
      <c r="AC28" s="108" t="s">
        <v>2280</v>
      </c>
      <c r="AE28" s="108" t="s">
        <v>2392</v>
      </c>
      <c r="AF28" s="108">
        <v>1</v>
      </c>
      <c r="AG28" s="108" t="str">
        <f>機器表!ED9</f>
        <v>基</v>
      </c>
      <c r="AH28" s="144">
        <f>機器表!EE9</f>
        <v>1980000</v>
      </c>
      <c r="AI28" s="144">
        <f>機器表!EF9</f>
        <v>1230000</v>
      </c>
      <c r="AJ28" s="181">
        <f>機器表!EG9</f>
        <v>3.5</v>
      </c>
      <c r="AK28" s="108" t="s">
        <v>2280</v>
      </c>
      <c r="AN28" s="25" t="s">
        <v>2362</v>
      </c>
      <c r="AO28" s="25">
        <v>1</v>
      </c>
      <c r="AP28" s="25" t="s">
        <v>49</v>
      </c>
      <c r="AQ28" s="28">
        <v>30000</v>
      </c>
      <c r="AR28" s="28">
        <v>15000</v>
      </c>
      <c r="AS28" s="29">
        <v>0</v>
      </c>
      <c r="AW28" s="51" t="s">
        <v>622</v>
      </c>
      <c r="BF28" s="146" t="str">
        <f>CONCATENATE("①",管材表!K8,"　",管材表!L8)</f>
        <v>①SGP鋼管(白)　50A</v>
      </c>
      <c r="BG28" s="108">
        <v>52</v>
      </c>
      <c r="BH28" s="146" t="str">
        <f>管材表!M8</f>
        <v>m</v>
      </c>
      <c r="BI28" s="152">
        <f>管材表!N8</f>
        <v>9480</v>
      </c>
      <c r="BJ28" s="152">
        <f>管材表!O8</f>
        <v>5020</v>
      </c>
      <c r="BK28" s="151">
        <f>管材表!P8</f>
        <v>0.28999999999999998</v>
      </c>
      <c r="BL28" s="108" t="s">
        <v>2304</v>
      </c>
      <c r="BO28" s="25" t="s">
        <v>2328</v>
      </c>
      <c r="BP28" s="25">
        <v>1</v>
      </c>
      <c r="BQ28" s="39" t="str">
        <f>機器表!ED4</f>
        <v>基</v>
      </c>
      <c r="BR28" s="178">
        <f>機器表!EE4</f>
        <v>84000</v>
      </c>
      <c r="BS28" s="178">
        <f>機器表!EF4</f>
        <v>26080</v>
      </c>
      <c r="BT28" s="39">
        <f>機器表!EG4</f>
        <v>0.2</v>
      </c>
      <c r="BU28" s="25" t="s">
        <v>2280</v>
      </c>
    </row>
    <row r="29" spans="1:73">
      <c r="A29" s="25" t="s">
        <v>319</v>
      </c>
      <c r="B29" s="25" t="s">
        <v>2393</v>
      </c>
      <c r="C29" s="25">
        <f t="shared" si="1"/>
        <v>24</v>
      </c>
      <c r="E29" s="39" t="str">
        <f>CONCATENATE("③",電材表!Q18,"　",電材表!R18)</f>
        <v>③感震器　BES-100</v>
      </c>
      <c r="F29" s="108">
        <v>1</v>
      </c>
      <c r="G29" s="151" t="str">
        <f>電材表!S18</f>
        <v>個</v>
      </c>
      <c r="H29" s="37">
        <f>電材表!T18</f>
        <v>20100</v>
      </c>
      <c r="I29" s="37">
        <f>電材表!U18</f>
        <v>5580</v>
      </c>
      <c r="J29" s="57">
        <f>電材表!V18</f>
        <v>0</v>
      </c>
      <c r="K29" s="25" t="s">
        <v>2295</v>
      </c>
      <c r="N29" s="108" t="s">
        <v>2308</v>
      </c>
      <c r="O29" s="108">
        <v>1</v>
      </c>
      <c r="P29" s="108" t="s">
        <v>2290</v>
      </c>
      <c r="Q29" s="150">
        <f>ROUND(項目表!$E$3*標準項!T29,-3)</f>
        <v>24000</v>
      </c>
      <c r="R29" s="150">
        <f>ROUND(項目表!$F$3*標準項!T29,-3)</f>
        <v>15000</v>
      </c>
      <c r="S29" s="145"/>
      <c r="T29" s="154">
        <f>S28</f>
        <v>0.5</v>
      </c>
      <c r="W29" s="108" t="s">
        <v>2308</v>
      </c>
      <c r="X29" s="108">
        <v>1</v>
      </c>
      <c r="Y29" s="108" t="s">
        <v>2290</v>
      </c>
      <c r="Z29" s="148">
        <f>ROUND(項目表!$E$3*標準項!AC29,-3)</f>
        <v>24000</v>
      </c>
      <c r="AA29" s="148">
        <f>ROUND(項目表!$F$3*標準項!AC29,-3)</f>
        <v>15000</v>
      </c>
      <c r="AB29" s="145"/>
      <c r="AC29" s="154">
        <f>AB28</f>
        <v>0.5</v>
      </c>
      <c r="AE29" s="108" t="s">
        <v>2289</v>
      </c>
      <c r="AF29" s="108">
        <v>1</v>
      </c>
      <c r="AG29" s="108" t="s">
        <v>2290</v>
      </c>
      <c r="AH29" s="148">
        <f>ROUND(項目表!$E$3*標準項!AK29,-3)</f>
        <v>130000</v>
      </c>
      <c r="AI29" s="148">
        <f>ROUND(項目表!$F$3*標準項!AK29,-3)</f>
        <v>80000</v>
      </c>
      <c r="AJ29" s="145"/>
      <c r="AK29" s="149">
        <v>2.73</v>
      </c>
      <c r="AW29" s="108" t="s">
        <v>2394</v>
      </c>
      <c r="AX29" s="108">
        <v>1</v>
      </c>
      <c r="AY29" s="203" t="str">
        <f>機器表!V12</f>
        <v>台</v>
      </c>
      <c r="AZ29" s="202">
        <f>機器表!W12</f>
        <v>596000</v>
      </c>
      <c r="BA29" s="202">
        <f>機器表!X12</f>
        <v>228490</v>
      </c>
      <c r="BB29" s="204">
        <f>機器表!Y11</f>
        <v>0.9</v>
      </c>
      <c r="BC29" s="108" t="s">
        <v>2280</v>
      </c>
      <c r="BF29" s="146" t="str">
        <f>CONCATENATE("①",管材表!BG8,"　",管材表!BH8)</f>
        <v>①ｹﾞｰﾄ弁　50A</v>
      </c>
      <c r="BG29" s="108">
        <v>6</v>
      </c>
      <c r="BH29" s="146" t="str">
        <f>管材表!BI8</f>
        <v>個</v>
      </c>
      <c r="BI29" s="152">
        <f>管材表!BJ8</f>
        <v>39100</v>
      </c>
      <c r="BJ29" s="152">
        <f>管材表!BK8</f>
        <v>25420</v>
      </c>
      <c r="BK29" s="151">
        <f>管材表!BL8</f>
        <v>0.18</v>
      </c>
      <c r="BL29" s="108" t="s">
        <v>2304</v>
      </c>
      <c r="BO29" s="25" t="s">
        <v>2335</v>
      </c>
      <c r="BP29" s="25">
        <v>1</v>
      </c>
      <c r="BQ29" s="25" t="s">
        <v>2290</v>
      </c>
      <c r="BR29" s="180">
        <f>ROUND(項目表!$E$3*標準項!BU29,-3)</f>
        <v>10000</v>
      </c>
      <c r="BS29" s="180">
        <f>ROUND(項目表!$F$3*標準項!BU29,-3)</f>
        <v>6000</v>
      </c>
      <c r="BT29" s="29"/>
      <c r="BU29" s="75">
        <f>BT28</f>
        <v>0.2</v>
      </c>
    </row>
    <row r="30" spans="1:73">
      <c r="A30" s="25" t="s">
        <v>401</v>
      </c>
      <c r="B30" s="25" t="s">
        <v>2395</v>
      </c>
      <c r="C30" s="25">
        <f t="shared" si="1"/>
        <v>25</v>
      </c>
      <c r="E30" s="146" t="str">
        <f>CONCATENATE("○",機器表!EJ6,"　",機器表!EK6)</f>
        <v xml:space="preserve">○煙突ｾｯﾄ　BEP-HB1201     </v>
      </c>
      <c r="F30" s="108">
        <v>1</v>
      </c>
      <c r="G30" s="39" t="str">
        <f>機器表!EL6</f>
        <v>ｾｯﾄ</v>
      </c>
      <c r="H30" s="37">
        <f>機器表!EM6</f>
        <v>65700</v>
      </c>
      <c r="I30" s="37">
        <f>機器表!EN6</f>
        <v>23160</v>
      </c>
      <c r="J30" s="57">
        <f>機器表!EO6</f>
        <v>0.5</v>
      </c>
      <c r="K30" s="108" t="s">
        <v>2280</v>
      </c>
      <c r="N30" s="108" t="s">
        <v>2314</v>
      </c>
      <c r="O30" s="108">
        <v>1</v>
      </c>
      <c r="P30" s="39" t="str">
        <f>機器表!EL9</f>
        <v>ｾｯﾄ</v>
      </c>
      <c r="Q30" s="37">
        <f>機器表!EM9</f>
        <v>72800</v>
      </c>
      <c r="R30" s="37">
        <f>機器表!EN9</f>
        <v>23890</v>
      </c>
      <c r="S30" s="57">
        <f>機器表!EO9</f>
        <v>0.7</v>
      </c>
      <c r="T30" s="108" t="s">
        <v>2280</v>
      </c>
      <c r="W30" s="108" t="s">
        <v>2314</v>
      </c>
      <c r="X30" s="108">
        <v>1</v>
      </c>
      <c r="Y30" s="39" t="str">
        <f>機器表!EL9</f>
        <v>ｾｯﾄ</v>
      </c>
      <c r="Z30" s="37">
        <f>機器表!EM9</f>
        <v>72800</v>
      </c>
      <c r="AA30" s="37">
        <f>機器表!EN9</f>
        <v>23890</v>
      </c>
      <c r="AB30" s="57">
        <f>機器表!EO9</f>
        <v>0.7</v>
      </c>
      <c r="AC30" s="108" t="s">
        <v>2280</v>
      </c>
      <c r="AE30" s="174" t="s">
        <v>2396</v>
      </c>
      <c r="AF30" s="174">
        <v>1</v>
      </c>
      <c r="AG30" s="174" t="s">
        <v>2299</v>
      </c>
      <c r="AH30" s="148">
        <v>30000</v>
      </c>
      <c r="AI30" s="148">
        <v>20000</v>
      </c>
      <c r="AJ30" s="145"/>
      <c r="AK30" s="108"/>
      <c r="AN30" s="51" t="s">
        <v>2397</v>
      </c>
      <c r="AW30" s="108" t="s">
        <v>2289</v>
      </c>
      <c r="AX30" s="108">
        <v>1</v>
      </c>
      <c r="AY30" s="108" t="s">
        <v>2290</v>
      </c>
      <c r="AZ30" s="148">
        <f>ROUND(項目表!$E$3*標準項!BC30,-3)</f>
        <v>43000</v>
      </c>
      <c r="BA30" s="148">
        <f>ROUND(項目表!$F$3*標準項!BC30,-3)</f>
        <v>26000</v>
      </c>
      <c r="BB30" s="145"/>
      <c r="BC30" s="149">
        <v>0.9</v>
      </c>
      <c r="BF30" s="146" t="str">
        <f>CONCATENATE("①",管材表!BG3,"　",管材表!BH3)</f>
        <v>①ｹﾞｰﾄ弁　15A</v>
      </c>
      <c r="BG30" s="108">
        <v>16</v>
      </c>
      <c r="BH30" s="146" t="str">
        <f>管材表!BI3</f>
        <v>個</v>
      </c>
      <c r="BI30" s="152">
        <f>管材表!BJ3</f>
        <v>6510</v>
      </c>
      <c r="BJ30" s="152">
        <f>管材表!BK3</f>
        <v>4230</v>
      </c>
      <c r="BK30" s="151">
        <f>管材表!BL3</f>
        <v>0.08</v>
      </c>
      <c r="BL30" s="108" t="s">
        <v>2304</v>
      </c>
      <c r="BO30" s="25" t="s">
        <v>2340</v>
      </c>
      <c r="BP30" s="25">
        <v>1</v>
      </c>
      <c r="BQ30" s="25" t="s">
        <v>2290</v>
      </c>
      <c r="BR30" s="180">
        <f>ROUND(項目表!$E$3*標準項!BU30,-3)</f>
        <v>10000</v>
      </c>
      <c r="BS30" s="180">
        <f>ROUND(項目表!$F$3*標準項!BU30,-3)</f>
        <v>6000</v>
      </c>
      <c r="BT30" s="29"/>
      <c r="BU30" s="75">
        <f>BT28</f>
        <v>0.2</v>
      </c>
    </row>
    <row r="31" spans="1:73">
      <c r="A31" s="25" t="s">
        <v>443</v>
      </c>
      <c r="B31" s="25" t="s">
        <v>2398</v>
      </c>
      <c r="C31" s="25">
        <f t="shared" si="1"/>
        <v>26</v>
      </c>
      <c r="E31" s="146" t="str">
        <f>CONCATENATE("○",機器表!EJ24,"　",機器表!EK24)</f>
        <v>○煙突直管 　φ120</v>
      </c>
      <c r="F31" s="108">
        <v>1</v>
      </c>
      <c r="G31" s="39" t="str">
        <f>機器表!EL24</f>
        <v>本</v>
      </c>
      <c r="H31" s="37">
        <f>機器表!EM24</f>
        <v>8470</v>
      </c>
      <c r="I31" s="37">
        <f>機器表!EN24</f>
        <v>2090</v>
      </c>
      <c r="J31" s="57">
        <f>機器表!EO24</f>
        <v>0.1</v>
      </c>
      <c r="K31" s="108" t="s">
        <v>2280</v>
      </c>
      <c r="N31" s="108" t="s">
        <v>2319</v>
      </c>
      <c r="O31" s="108">
        <v>2</v>
      </c>
      <c r="P31" s="39" t="str">
        <f>機器表!EL25</f>
        <v>本</v>
      </c>
      <c r="Q31" s="37">
        <f>機器表!EM25</f>
        <v>9930</v>
      </c>
      <c r="R31" s="37">
        <f>機器表!EN25</f>
        <v>2290</v>
      </c>
      <c r="S31" s="57">
        <f>機器表!EO25</f>
        <v>0.1</v>
      </c>
      <c r="T31" s="108" t="s">
        <v>2280</v>
      </c>
      <c r="W31" s="108" t="s">
        <v>2319</v>
      </c>
      <c r="X31" s="108">
        <v>2</v>
      </c>
      <c r="Y31" s="39" t="str">
        <f>機器表!EL25</f>
        <v>本</v>
      </c>
      <c r="Z31" s="37">
        <f>機器表!EM25</f>
        <v>9930</v>
      </c>
      <c r="AA31" s="37">
        <f>機器表!EN25</f>
        <v>2290</v>
      </c>
      <c r="AB31" s="57">
        <f>機器表!EO25</f>
        <v>0.1</v>
      </c>
      <c r="AC31" s="108" t="s">
        <v>2280</v>
      </c>
      <c r="AE31" s="146" t="str">
        <f>CONCATENATE("①",管材表!K9,"　",管材表!L9)</f>
        <v>①SGP鋼管(白)　65A</v>
      </c>
      <c r="AF31" s="108">
        <v>4</v>
      </c>
      <c r="AG31" s="146" t="str">
        <f>管材表!M9</f>
        <v>m</v>
      </c>
      <c r="AH31" s="152">
        <f>管材表!N9</f>
        <v>13540</v>
      </c>
      <c r="AI31" s="152">
        <f>管材表!O9</f>
        <v>7180</v>
      </c>
      <c r="AJ31" s="151">
        <f>管材表!P9</f>
        <v>0.37</v>
      </c>
      <c r="AK31" s="108" t="s">
        <v>2304</v>
      </c>
      <c r="AN31" s="39" t="s">
        <v>2399</v>
      </c>
      <c r="AO31" s="25">
        <v>1</v>
      </c>
      <c r="AP31" s="39" t="str">
        <f>機器表!DF12</f>
        <v>ｾｯﾄ</v>
      </c>
      <c r="AQ31" s="37">
        <f>機器表!DG12</f>
        <v>597000</v>
      </c>
      <c r="AR31" s="37" t="str">
        <f>機器表!DH12</f>
        <v>-</v>
      </c>
      <c r="AS31" s="57">
        <f>機器表!DI12</f>
        <v>1.6</v>
      </c>
      <c r="AT31" s="25" t="s">
        <v>2280</v>
      </c>
      <c r="AW31" s="39" t="str">
        <f>CONCATENATE("③",電材表!Q18,"　",電材表!R18)</f>
        <v>③感震器　BES-100</v>
      </c>
      <c r="AX31" s="108">
        <v>1</v>
      </c>
      <c r="AY31" s="146" t="str">
        <f>電材表!S18</f>
        <v>個</v>
      </c>
      <c r="AZ31" s="152">
        <f>電材表!T18</f>
        <v>20100</v>
      </c>
      <c r="BA31" s="152">
        <f>電材表!U18</f>
        <v>5580</v>
      </c>
      <c r="BB31" s="151">
        <f>電材表!V18</f>
        <v>0</v>
      </c>
      <c r="BC31" s="25" t="s">
        <v>2295</v>
      </c>
      <c r="BF31" s="108" t="s">
        <v>2339</v>
      </c>
      <c r="BG31" s="108">
        <v>16</v>
      </c>
      <c r="BH31" s="108" t="s">
        <v>1824</v>
      </c>
      <c r="BI31" s="144">
        <f>管材表!ET12</f>
        <v>36100</v>
      </c>
      <c r="BJ31" s="144">
        <f>管材表!EU12</f>
        <v>28880</v>
      </c>
      <c r="BK31" s="145">
        <v>0.08</v>
      </c>
      <c r="BL31" s="108" t="s">
        <v>2304</v>
      </c>
      <c r="BO31" s="26" t="s">
        <v>2348</v>
      </c>
      <c r="BP31" s="25">
        <v>1</v>
      </c>
      <c r="BQ31" s="39" t="str">
        <f>管材表!FA6</f>
        <v>個</v>
      </c>
      <c r="BR31" s="178">
        <f>管材表!FB6</f>
        <v>11800</v>
      </c>
      <c r="BS31" s="178">
        <f>管材表!FC6</f>
        <v>4430</v>
      </c>
      <c r="BT31" s="39">
        <f>管材表!FD6</f>
        <v>0.3</v>
      </c>
      <c r="BU31" s="25" t="s">
        <v>2304</v>
      </c>
    </row>
    <row r="32" spans="1:73">
      <c r="A32" s="25" t="s">
        <v>2400</v>
      </c>
      <c r="E32" s="146" t="str">
        <f>CONCATENATE("○",機器表!EJ36,"　",機器表!EK36)</f>
        <v>○煙突ｴﾋﾞﾏｶﾞﾘ 　φ120</v>
      </c>
      <c r="F32" s="108">
        <v>1</v>
      </c>
      <c r="G32" s="39" t="str">
        <f>機器表!EL36</f>
        <v>個</v>
      </c>
      <c r="H32" s="37">
        <f>機器表!EM36</f>
        <v>6490</v>
      </c>
      <c r="I32" s="37">
        <f>機器表!EN36</f>
        <v>1360</v>
      </c>
      <c r="J32" s="57">
        <f>機器表!EO36</f>
        <v>0.1</v>
      </c>
      <c r="K32" s="108" t="s">
        <v>2280</v>
      </c>
      <c r="N32" s="108" t="s">
        <v>2324</v>
      </c>
      <c r="O32" s="108">
        <v>1</v>
      </c>
      <c r="P32" s="39" t="str">
        <f>機器表!EL38</f>
        <v>個</v>
      </c>
      <c r="Q32" s="37">
        <f>機器表!EM38</f>
        <v>7210</v>
      </c>
      <c r="R32" s="37">
        <f>機器表!EN38</f>
        <v>1560</v>
      </c>
      <c r="S32" s="57">
        <f>機器表!EO38</f>
        <v>0.1</v>
      </c>
      <c r="T32" s="108" t="s">
        <v>2280</v>
      </c>
      <c r="W32" s="108" t="s">
        <v>2324</v>
      </c>
      <c r="X32" s="108">
        <v>1</v>
      </c>
      <c r="Y32" s="39" t="str">
        <f>機器表!EL38</f>
        <v>個</v>
      </c>
      <c r="Z32" s="37">
        <f>機器表!EM38</f>
        <v>7210</v>
      </c>
      <c r="AA32" s="37">
        <f>機器表!EN38</f>
        <v>1560</v>
      </c>
      <c r="AB32" s="57">
        <f>機器表!EO38</f>
        <v>0.1</v>
      </c>
      <c r="AC32" s="108" t="s">
        <v>2280</v>
      </c>
      <c r="AE32" s="174" t="str">
        <f>CONCATENATE("①",管材表!AA7,"　",管材表!AB7)</f>
        <v>①外面被覆鋼管　40A</v>
      </c>
      <c r="AF32" s="174">
        <v>20</v>
      </c>
      <c r="AG32" s="148" t="str">
        <f>管材表!AC7</f>
        <v>m</v>
      </c>
      <c r="AH32" s="148">
        <f>管材表!AD7</f>
        <v>5180</v>
      </c>
      <c r="AI32" s="148">
        <f>管材表!AE7</f>
        <v>3890</v>
      </c>
      <c r="AJ32" s="177">
        <f>管材表!AF7</f>
        <v>0.23</v>
      </c>
      <c r="AN32" s="25" t="s">
        <v>2401</v>
      </c>
      <c r="AS32" s="29">
        <v>0</v>
      </c>
      <c r="AW32" s="108" t="s">
        <v>2305</v>
      </c>
      <c r="AX32" s="108">
        <v>1</v>
      </c>
      <c r="AY32" s="39" t="str">
        <f>機器表!EL7</f>
        <v>ｾｯﾄ</v>
      </c>
      <c r="AZ32" s="37">
        <f>機器表!EM7</f>
        <v>60400</v>
      </c>
      <c r="BA32" s="37">
        <f>機器表!EN7</f>
        <v>20760</v>
      </c>
      <c r="BB32" s="57">
        <f>機器表!EO7</f>
        <v>0.5</v>
      </c>
      <c r="BC32" s="108" t="s">
        <v>2280</v>
      </c>
      <c r="BF32" s="108" t="s">
        <v>2347</v>
      </c>
      <c r="BG32" s="108">
        <v>1</v>
      </c>
      <c r="BH32" s="108" t="s">
        <v>2299</v>
      </c>
      <c r="BI32" s="144">
        <v>180000</v>
      </c>
      <c r="BJ32" s="144">
        <v>120000</v>
      </c>
      <c r="BK32" s="145">
        <v>0</v>
      </c>
      <c r="BL32" s="108"/>
      <c r="BO32" s="108" t="s">
        <v>2402</v>
      </c>
      <c r="BP32" s="108">
        <v>1</v>
      </c>
      <c r="BQ32" s="146" t="str">
        <f>管材表!FA8</f>
        <v>個</v>
      </c>
      <c r="BR32" s="165">
        <f>管材表!FB8</f>
        <v>18000</v>
      </c>
      <c r="BS32" s="165">
        <f>管材表!FC8</f>
        <v>4600</v>
      </c>
      <c r="BT32" s="146">
        <f>管材表!FD8</f>
        <v>0.2</v>
      </c>
      <c r="BU32" s="108" t="s">
        <v>2304</v>
      </c>
    </row>
    <row r="33" spans="1:73">
      <c r="A33" s="25" t="s">
        <v>2277</v>
      </c>
      <c r="B33" s="25" t="s">
        <v>2403</v>
      </c>
      <c r="C33" s="25">
        <v>27</v>
      </c>
      <c r="E33" s="108" t="s">
        <v>2318</v>
      </c>
      <c r="F33" s="108">
        <v>1</v>
      </c>
      <c r="G33" s="108" t="s">
        <v>2299</v>
      </c>
      <c r="H33" s="144">
        <v>18000</v>
      </c>
      <c r="I33" s="144">
        <v>12000</v>
      </c>
      <c r="J33" s="145">
        <v>0</v>
      </c>
      <c r="K33" s="108"/>
      <c r="N33" s="108" t="s">
        <v>2318</v>
      </c>
      <c r="O33" s="108">
        <v>1</v>
      </c>
      <c r="P33" s="108" t="s">
        <v>1824</v>
      </c>
      <c r="Q33" s="148">
        <v>25000</v>
      </c>
      <c r="R33" s="144">
        <v>14000</v>
      </c>
      <c r="S33" s="145"/>
      <c r="T33" s="108"/>
      <c r="W33" s="108" t="s">
        <v>2331</v>
      </c>
      <c r="X33" s="108">
        <v>1</v>
      </c>
      <c r="Y33" s="108" t="s">
        <v>1824</v>
      </c>
      <c r="Z33" s="148">
        <v>25000</v>
      </c>
      <c r="AA33" s="144">
        <v>14000</v>
      </c>
      <c r="AB33" s="145"/>
      <c r="AC33" s="108"/>
      <c r="AE33" s="146" t="str">
        <f>CONCATENATE("①",管材表!CM11,"　",管材表!CN11)</f>
        <v>①ﾏﾚｰﾌﾞﾙ弁　65A(ﾌﾗﾝｼﾞ)</v>
      </c>
      <c r="AF33" s="108">
        <v>1</v>
      </c>
      <c r="AG33" s="146" t="str">
        <f>管材表!CO11</f>
        <v>個</v>
      </c>
      <c r="AH33" s="152">
        <f>管材表!CP11</f>
        <v>112000</v>
      </c>
      <c r="AI33" s="152">
        <f>管材表!CQ11</f>
        <v>72800</v>
      </c>
      <c r="AJ33" s="151">
        <f>管材表!CR11</f>
        <v>0.32</v>
      </c>
      <c r="AK33" s="108" t="s">
        <v>2304</v>
      </c>
      <c r="AN33" s="25" t="s">
        <v>2404</v>
      </c>
      <c r="AO33" s="25">
        <v>1</v>
      </c>
      <c r="AP33" s="39" t="str">
        <f>機器表!DF19</f>
        <v>式</v>
      </c>
      <c r="AQ33" s="37">
        <f>機器表!DG19</f>
        <v>71900</v>
      </c>
      <c r="AR33" s="37">
        <f>機器表!DH19</f>
        <v>4500</v>
      </c>
      <c r="AS33" s="57">
        <f>機器表!DI19</f>
        <v>0</v>
      </c>
      <c r="AT33" s="25" t="s">
        <v>2280</v>
      </c>
      <c r="AW33" s="108" t="s">
        <v>2311</v>
      </c>
      <c r="AX33" s="108">
        <v>1</v>
      </c>
      <c r="AY33" s="39" t="str">
        <f>機器表!EL24</f>
        <v>本</v>
      </c>
      <c r="AZ33" s="37">
        <f>機器表!EM24</f>
        <v>8470</v>
      </c>
      <c r="BA33" s="37">
        <f>機器表!EN24</f>
        <v>2090</v>
      </c>
      <c r="BB33" s="57">
        <f>機器表!EO24</f>
        <v>0.1</v>
      </c>
      <c r="BC33" s="108" t="s">
        <v>2280</v>
      </c>
      <c r="BF33" s="108" t="s">
        <v>2320</v>
      </c>
      <c r="BG33" s="108">
        <v>1</v>
      </c>
      <c r="BH33" s="108" t="s">
        <v>2299</v>
      </c>
      <c r="BI33" s="144">
        <f>ROUND(項目表!$E$3*BL33,-3)</f>
        <v>431000</v>
      </c>
      <c r="BJ33" s="144">
        <f>ROUND(項目表!$F$3*BL33,-3)</f>
        <v>267000</v>
      </c>
      <c r="BK33" s="145"/>
      <c r="BL33" s="108">
        <v>9.07</v>
      </c>
      <c r="BO33" s="146" t="str">
        <f>CONCATENATE("①",管材表!CM3,"　",管材表!CN3)</f>
        <v>①ﾏﾚｰﾌﾞﾙ弁　15A</v>
      </c>
      <c r="BP33" s="108">
        <v>1</v>
      </c>
      <c r="BQ33" s="146" t="str">
        <f>管材表!CO3</f>
        <v>個</v>
      </c>
      <c r="BR33" s="165">
        <f>管材表!CP3</f>
        <v>12200</v>
      </c>
      <c r="BS33" s="165">
        <f>管材表!CQ3</f>
        <v>7930</v>
      </c>
      <c r="BT33" s="146">
        <f>管材表!CR3</f>
        <v>0.08</v>
      </c>
      <c r="BU33" s="108" t="s">
        <v>2304</v>
      </c>
    </row>
    <row r="34" spans="1:73">
      <c r="A34" s="25" t="s">
        <v>2369</v>
      </c>
      <c r="B34" s="25" t="s">
        <v>2405</v>
      </c>
      <c r="C34" s="25">
        <f t="shared" ref="C34:C36" si="2">C33+1</f>
        <v>28</v>
      </c>
      <c r="E34" s="108" t="s">
        <v>2323</v>
      </c>
      <c r="F34" s="108">
        <v>1</v>
      </c>
      <c r="G34" s="108" t="s">
        <v>2290</v>
      </c>
      <c r="H34" s="148">
        <f>ROUND(項目表!$E$3*標準項!K34,-3)</f>
        <v>33000</v>
      </c>
      <c r="I34" s="148">
        <f>ROUND(項目表!$F$3*標準項!K34,-3)</f>
        <v>21000</v>
      </c>
      <c r="J34" s="145"/>
      <c r="K34" s="157">
        <v>0.7</v>
      </c>
      <c r="N34" s="25" t="s">
        <v>2323</v>
      </c>
      <c r="O34" s="108">
        <v>1</v>
      </c>
      <c r="P34" s="108" t="s">
        <v>2290</v>
      </c>
      <c r="Q34" s="148">
        <f>ROUND(項目表!$E$3*標準項!T34,-3)</f>
        <v>43000</v>
      </c>
      <c r="R34" s="148">
        <f>ROUND(項目表!$F$3*標準項!T34,-3)</f>
        <v>26000</v>
      </c>
      <c r="S34" s="145"/>
      <c r="T34" s="157">
        <v>0.9</v>
      </c>
      <c r="W34" s="25" t="s">
        <v>2323</v>
      </c>
      <c r="X34" s="108">
        <v>1</v>
      </c>
      <c r="Y34" s="108" t="s">
        <v>2290</v>
      </c>
      <c r="Z34" s="148">
        <f>ROUND(項目表!$E$3*標準項!AC34,-3)</f>
        <v>43000</v>
      </c>
      <c r="AA34" s="148">
        <f>ROUND(項目表!$F$3*標準項!AC34,-3)</f>
        <v>26000</v>
      </c>
      <c r="AB34" s="145"/>
      <c r="AC34" s="157">
        <v>0.9</v>
      </c>
      <c r="AE34" s="146" t="str">
        <f>CONCATENATE("①",管材表!CM7,"　",管材表!CN7)</f>
        <v>①ﾏﾚｰﾌﾞﾙ弁　40A</v>
      </c>
      <c r="AF34" s="108">
        <v>2</v>
      </c>
      <c r="AG34" s="146" t="str">
        <f>管材表!CO7</f>
        <v>個</v>
      </c>
      <c r="AH34" s="152">
        <f>管材表!CP7</f>
        <v>29200</v>
      </c>
      <c r="AI34" s="152">
        <f>管材表!CQ7</f>
        <v>18980</v>
      </c>
      <c r="AJ34" s="151">
        <f>管材表!CR7</f>
        <v>0.16</v>
      </c>
      <c r="AK34" s="108" t="s">
        <v>2304</v>
      </c>
      <c r="AN34" s="25" t="s">
        <v>2289</v>
      </c>
      <c r="AO34" s="25">
        <v>1</v>
      </c>
      <c r="AP34" s="25" t="s">
        <v>49</v>
      </c>
      <c r="AQ34" s="28">
        <v>100000</v>
      </c>
      <c r="AR34" s="28">
        <v>50000</v>
      </c>
      <c r="AS34" s="29">
        <v>0</v>
      </c>
      <c r="AW34" s="108" t="s">
        <v>2316</v>
      </c>
      <c r="AX34" s="108">
        <v>1</v>
      </c>
      <c r="AY34" s="39" t="str">
        <f>機器表!EL36</f>
        <v>個</v>
      </c>
      <c r="AZ34" s="37">
        <f>機器表!EM36</f>
        <v>6490</v>
      </c>
      <c r="BA34" s="37">
        <f>機器表!EN36</f>
        <v>1360</v>
      </c>
      <c r="BB34" s="57">
        <f>機器表!EO36</f>
        <v>0.1</v>
      </c>
      <c r="BC34" s="108" t="s">
        <v>2280</v>
      </c>
      <c r="BF34" s="108" t="s">
        <v>2358</v>
      </c>
      <c r="BG34" s="108">
        <v>4</v>
      </c>
      <c r="BH34" s="108" t="s">
        <v>2299</v>
      </c>
      <c r="BI34" s="144">
        <v>9000</v>
      </c>
      <c r="BJ34" s="144">
        <v>5000</v>
      </c>
      <c r="BK34" s="145"/>
      <c r="BL34" s="108">
        <v>0.2</v>
      </c>
      <c r="BO34" s="108" t="s">
        <v>2320</v>
      </c>
      <c r="BP34" s="108">
        <v>1</v>
      </c>
      <c r="BQ34" s="108" t="s">
        <v>2290</v>
      </c>
      <c r="BR34" s="148">
        <f>ROUND(項目表!$E$3*標準項!BU34,-3)</f>
        <v>28000</v>
      </c>
      <c r="BS34" s="148">
        <f>ROUND(項目表!$F$3*標準項!BU34,-3)</f>
        <v>17000</v>
      </c>
      <c r="BT34" s="145"/>
      <c r="BU34" s="157">
        <v>0.57999999999999996</v>
      </c>
    </row>
    <row r="35" spans="1:73">
      <c r="A35" s="25" t="s">
        <v>2406</v>
      </c>
      <c r="B35" s="25" t="s">
        <v>2407</v>
      </c>
      <c r="C35" s="25">
        <f t="shared" si="2"/>
        <v>29</v>
      </c>
      <c r="E35" s="108" t="s">
        <v>2330</v>
      </c>
      <c r="F35" s="108">
        <v>1</v>
      </c>
      <c r="G35" s="108" t="s">
        <v>2299</v>
      </c>
      <c r="H35" s="144">
        <v>15000</v>
      </c>
      <c r="I35" s="144">
        <v>10000</v>
      </c>
      <c r="J35" s="145">
        <v>0</v>
      </c>
      <c r="K35" s="108"/>
      <c r="N35" s="108" t="s">
        <v>2343</v>
      </c>
      <c r="O35" s="108">
        <v>1</v>
      </c>
      <c r="P35" s="108" t="s">
        <v>1268</v>
      </c>
      <c r="Q35" s="144">
        <v>20000</v>
      </c>
      <c r="R35" s="144">
        <v>13000</v>
      </c>
      <c r="S35" s="145">
        <v>0.1</v>
      </c>
      <c r="T35" s="108" t="s">
        <v>2280</v>
      </c>
      <c r="W35" s="108" t="s">
        <v>2343</v>
      </c>
      <c r="X35" s="108">
        <v>1</v>
      </c>
      <c r="Y35" s="108" t="s">
        <v>1268</v>
      </c>
      <c r="Z35" s="144">
        <v>20000</v>
      </c>
      <c r="AA35" s="144">
        <v>13000</v>
      </c>
      <c r="AB35" s="145">
        <v>0.1</v>
      </c>
      <c r="AC35" s="108" t="s">
        <v>2280</v>
      </c>
      <c r="AE35" s="108" t="s">
        <v>2408</v>
      </c>
      <c r="AF35" s="108">
        <v>1</v>
      </c>
      <c r="AG35" s="108" t="s">
        <v>1821</v>
      </c>
      <c r="AH35" s="144">
        <f>管材表!DV22</f>
        <v>26000</v>
      </c>
      <c r="AI35" s="144">
        <f>管材表!DW22</f>
        <v>6760</v>
      </c>
      <c r="AJ35" s="145">
        <v>0.37</v>
      </c>
      <c r="AK35" s="108" t="s">
        <v>2304</v>
      </c>
      <c r="AN35" s="126" t="s">
        <v>2310</v>
      </c>
      <c r="AO35" s="126">
        <v>1</v>
      </c>
      <c r="AP35" s="126" t="s">
        <v>49</v>
      </c>
      <c r="AQ35" s="73">
        <v>150000</v>
      </c>
      <c r="AR35" s="73">
        <v>70000</v>
      </c>
      <c r="AS35" s="173">
        <v>0</v>
      </c>
      <c r="AW35" s="108" t="s">
        <v>2318</v>
      </c>
      <c r="AX35" s="108">
        <v>1</v>
      </c>
      <c r="AY35" s="108" t="s">
        <v>1824</v>
      </c>
      <c r="AZ35" s="144">
        <v>15000</v>
      </c>
      <c r="BA35" s="144">
        <v>10000</v>
      </c>
      <c r="BB35" s="145">
        <v>0</v>
      </c>
      <c r="BC35" s="108"/>
      <c r="BF35" s="108" t="s">
        <v>2364</v>
      </c>
      <c r="BG35" s="108">
        <v>1</v>
      </c>
      <c r="BH35" s="108" t="s">
        <v>2299</v>
      </c>
      <c r="BI35" s="144">
        <v>45000</v>
      </c>
      <c r="BJ35" s="144">
        <v>30000</v>
      </c>
      <c r="BK35" s="145"/>
      <c r="BL35" s="108">
        <v>1.2</v>
      </c>
      <c r="BO35" s="108" t="s">
        <v>2325</v>
      </c>
      <c r="BP35" s="108">
        <v>1</v>
      </c>
      <c r="BQ35" s="108" t="s">
        <v>2299</v>
      </c>
      <c r="BR35" s="148">
        <v>20000</v>
      </c>
      <c r="BS35" s="148">
        <v>10000</v>
      </c>
      <c r="BT35" s="145"/>
      <c r="BU35" s="108"/>
    </row>
    <row r="36" spans="1:73">
      <c r="A36" s="25" t="s">
        <v>2409</v>
      </c>
      <c r="B36" s="25" t="s">
        <v>2410</v>
      </c>
      <c r="C36" s="25">
        <f t="shared" si="2"/>
        <v>30</v>
      </c>
      <c r="E36" s="146" t="str">
        <f>CONCATENATE("①",管材表!K7,"　",管材表!L7)</f>
        <v>①SGP鋼管(白)　40A</v>
      </c>
      <c r="F36" s="108">
        <v>4</v>
      </c>
      <c r="G36" s="146" t="str">
        <f>管材表!M7</f>
        <v>m</v>
      </c>
      <c r="H36" s="152">
        <f>管材表!N7</f>
        <v>6910</v>
      </c>
      <c r="I36" s="152">
        <f>管材表!O7</f>
        <v>3660</v>
      </c>
      <c r="J36" s="151">
        <f>管材表!P7</f>
        <v>0.23</v>
      </c>
      <c r="K36" s="108" t="s">
        <v>2304</v>
      </c>
      <c r="N36" s="108" t="s">
        <v>2411</v>
      </c>
      <c r="O36" s="108">
        <v>1</v>
      </c>
      <c r="P36" s="39" t="str">
        <f>機器表!ET15</f>
        <v>本</v>
      </c>
      <c r="Q36" s="37">
        <f>機器表!EU15</f>
        <v>21600</v>
      </c>
      <c r="R36" s="37">
        <f>機器表!EV15</f>
        <v>10650</v>
      </c>
      <c r="S36" s="57">
        <f>機器表!EW15</f>
        <v>0</v>
      </c>
      <c r="T36" s="108" t="s">
        <v>2280</v>
      </c>
      <c r="W36" s="108" t="s">
        <v>2351</v>
      </c>
      <c r="X36" s="108">
        <v>1</v>
      </c>
      <c r="Y36" s="39" t="str">
        <f>機器表!ET18</f>
        <v>本</v>
      </c>
      <c r="Z36" s="37">
        <f>機器表!EU18</f>
        <v>29800</v>
      </c>
      <c r="AA36" s="37">
        <f>機器表!EV18</f>
        <v>14900</v>
      </c>
      <c r="AB36" s="57">
        <f>機器表!EW18</f>
        <v>0</v>
      </c>
      <c r="AC36" s="108" t="s">
        <v>2280</v>
      </c>
      <c r="AE36" s="108" t="s">
        <v>2412</v>
      </c>
      <c r="AF36" s="108">
        <v>1</v>
      </c>
      <c r="AG36" s="108" t="s">
        <v>1821</v>
      </c>
      <c r="AH36" s="144">
        <f>管材表!DV20</f>
        <v>18000</v>
      </c>
      <c r="AI36" s="144">
        <f>管材表!DW20</f>
        <v>4680</v>
      </c>
      <c r="AJ36" s="145">
        <v>0.18</v>
      </c>
      <c r="AK36" s="108" t="s">
        <v>2304</v>
      </c>
      <c r="AN36" s="25" t="s">
        <v>2315</v>
      </c>
      <c r="AO36" s="25">
        <v>1</v>
      </c>
      <c r="AP36" s="25" t="s">
        <v>49</v>
      </c>
      <c r="AQ36" s="28">
        <v>9600</v>
      </c>
      <c r="AR36" s="28">
        <v>6000</v>
      </c>
      <c r="AS36" s="29">
        <v>0</v>
      </c>
      <c r="AW36" s="108" t="s">
        <v>2327</v>
      </c>
      <c r="AX36" s="108">
        <v>1</v>
      </c>
      <c r="AY36" s="108" t="s">
        <v>2299</v>
      </c>
      <c r="AZ36" s="148">
        <f>ROUND(項目表!$E$3*BC36,-3)</f>
        <v>36000</v>
      </c>
      <c r="BA36" s="148">
        <f>ROUND(項目表!$F$3*標準項!BC36,-3)</f>
        <v>22000</v>
      </c>
      <c r="BB36" s="145"/>
      <c r="BC36" s="157">
        <v>0.75</v>
      </c>
      <c r="BF36" s="108" t="s">
        <v>2325</v>
      </c>
      <c r="BG36" s="108">
        <v>1</v>
      </c>
      <c r="BH36" s="108" t="s">
        <v>2299</v>
      </c>
      <c r="BI36" s="144">
        <v>50000</v>
      </c>
      <c r="BJ36" s="144">
        <v>25000</v>
      </c>
      <c r="BK36" s="145">
        <v>0</v>
      </c>
      <c r="BL36" s="108"/>
    </row>
    <row r="37" spans="1:73">
      <c r="A37" s="25" t="s">
        <v>2413</v>
      </c>
      <c r="E37" s="146" t="str">
        <f>CONCATENATE("①",管材表!K5,"　",管材表!L5)</f>
        <v>①SGP鋼管(白)　25A</v>
      </c>
      <c r="F37" s="108">
        <v>4</v>
      </c>
      <c r="G37" s="146" t="str">
        <f>管材表!M5</f>
        <v>m</v>
      </c>
      <c r="H37" s="152">
        <f>管材表!N5</f>
        <v>4540</v>
      </c>
      <c r="I37" s="152">
        <f>管材表!O5</f>
        <v>2400</v>
      </c>
      <c r="J37" s="151">
        <f>管材表!P5</f>
        <v>0.17</v>
      </c>
      <c r="K37" s="108" t="s">
        <v>2342</v>
      </c>
      <c r="N37" s="108" t="s">
        <v>2351</v>
      </c>
      <c r="O37" s="108">
        <v>2</v>
      </c>
      <c r="P37" s="39" t="str">
        <f>機器表!ET18</f>
        <v>本</v>
      </c>
      <c r="Q37" s="37">
        <f>機器表!EU18</f>
        <v>29800</v>
      </c>
      <c r="R37" s="37">
        <f>機器表!EV18</f>
        <v>14900</v>
      </c>
      <c r="S37" s="57">
        <f>機器表!EW18</f>
        <v>0</v>
      </c>
      <c r="T37" s="108" t="s">
        <v>2280</v>
      </c>
      <c r="W37" s="243" t="s">
        <v>2355</v>
      </c>
      <c r="X37" s="174">
        <v>2</v>
      </c>
      <c r="Y37" s="126" t="s">
        <v>991</v>
      </c>
      <c r="Z37" s="73">
        <v>6300</v>
      </c>
      <c r="AA37" s="73">
        <v>1000</v>
      </c>
      <c r="AE37" s="108" t="s">
        <v>2414</v>
      </c>
      <c r="AF37" s="108">
        <v>1</v>
      </c>
      <c r="AG37" s="108" t="s">
        <v>1824</v>
      </c>
      <c r="AH37" s="144">
        <v>15000</v>
      </c>
      <c r="AI37" s="144">
        <v>10000</v>
      </c>
      <c r="AJ37" s="145"/>
      <c r="AK37" s="108" t="s">
        <v>2304</v>
      </c>
      <c r="AN37" s="25" t="s">
        <v>2321</v>
      </c>
      <c r="AO37" s="25">
        <v>1</v>
      </c>
      <c r="AP37" s="25" t="s">
        <v>49</v>
      </c>
      <c r="AQ37" s="28">
        <v>6000</v>
      </c>
      <c r="AR37" s="28">
        <v>3000</v>
      </c>
      <c r="AS37" s="29">
        <v>0</v>
      </c>
      <c r="AW37" s="108" t="s">
        <v>2334</v>
      </c>
      <c r="AX37" s="108">
        <v>1</v>
      </c>
      <c r="AY37" s="108" t="s">
        <v>2299</v>
      </c>
      <c r="AZ37" s="144">
        <v>15000</v>
      </c>
      <c r="BA37" s="144">
        <v>10000</v>
      </c>
      <c r="BB37" s="145">
        <v>0</v>
      </c>
      <c r="BC37" s="108"/>
    </row>
    <row r="38" spans="1:73">
      <c r="A38" s="25" t="s">
        <v>909</v>
      </c>
      <c r="B38" s="25" t="s">
        <v>1948</v>
      </c>
      <c r="C38" s="25">
        <v>31</v>
      </c>
      <c r="E38" s="146" t="str">
        <f>CONCATENATE("①",管材表!K3,"　",管材表!L3)</f>
        <v>①SGP鋼管(白)　15A</v>
      </c>
      <c r="F38" s="108">
        <v>4</v>
      </c>
      <c r="G38" s="146" t="str">
        <f>管材表!M3</f>
        <v>m</v>
      </c>
      <c r="H38" s="152">
        <f>管材表!N3</f>
        <v>2650</v>
      </c>
      <c r="I38" s="152">
        <f>管材表!O3</f>
        <v>1410</v>
      </c>
      <c r="J38" s="151">
        <f>管材表!P3</f>
        <v>0.12</v>
      </c>
      <c r="K38" s="108" t="s">
        <v>2304</v>
      </c>
      <c r="N38" s="108" t="s">
        <v>2360</v>
      </c>
      <c r="O38" s="108">
        <v>10</v>
      </c>
      <c r="P38" s="39" t="str">
        <f>機器表!ET49</f>
        <v>ｾｯﾄ</v>
      </c>
      <c r="Q38" s="37">
        <f>機器表!EU49</f>
        <v>2370</v>
      </c>
      <c r="R38" s="37">
        <f>機器表!EV49</f>
        <v>700</v>
      </c>
      <c r="S38" s="57">
        <f>機器表!EW49</f>
        <v>0</v>
      </c>
      <c r="T38" s="108" t="s">
        <v>2280</v>
      </c>
      <c r="W38" s="234" t="s">
        <v>2415</v>
      </c>
      <c r="X38" s="234">
        <v>1</v>
      </c>
      <c r="Y38" s="224" t="str">
        <f>機器表!EL58</f>
        <v>ｾｯﾄ</v>
      </c>
      <c r="Z38" s="227">
        <f>機器表!EM58</f>
        <v>12400</v>
      </c>
      <c r="AA38" s="227">
        <f>機器表!EN58</f>
        <v>5220</v>
      </c>
      <c r="AB38" s="235">
        <f>機器表!EO58</f>
        <v>0</v>
      </c>
      <c r="AC38" s="234" t="s">
        <v>2280</v>
      </c>
      <c r="AE38" s="108" t="s">
        <v>2416</v>
      </c>
      <c r="AF38" s="108">
        <v>1</v>
      </c>
      <c r="AG38" s="108" t="s">
        <v>2299</v>
      </c>
      <c r="AH38" s="144">
        <v>30000</v>
      </c>
      <c r="AI38" s="144">
        <v>20000</v>
      </c>
      <c r="AJ38" s="145"/>
      <c r="AK38" s="108"/>
      <c r="AN38" s="25" t="s">
        <v>2417</v>
      </c>
      <c r="AO38" s="25">
        <v>1</v>
      </c>
      <c r="AP38" s="25" t="s">
        <v>49</v>
      </c>
      <c r="AQ38" s="28">
        <v>5000</v>
      </c>
      <c r="AR38" s="28">
        <v>2500</v>
      </c>
      <c r="AS38" s="29">
        <v>0</v>
      </c>
      <c r="AW38" s="108" t="s">
        <v>2325</v>
      </c>
      <c r="AX38" s="108">
        <v>1</v>
      </c>
      <c r="AY38" s="108" t="s">
        <v>2299</v>
      </c>
      <c r="AZ38" s="73">
        <v>15000</v>
      </c>
      <c r="BA38" s="73">
        <v>7500</v>
      </c>
      <c r="BB38" s="145">
        <v>0</v>
      </c>
      <c r="BO38" s="51" t="s">
        <v>961</v>
      </c>
      <c r="BQ38" s="25"/>
      <c r="BT38" s="29"/>
    </row>
    <row r="39" spans="1:73">
      <c r="A39" s="25" t="s">
        <v>933</v>
      </c>
      <c r="B39" s="25" t="s">
        <v>2418</v>
      </c>
      <c r="C39" s="25">
        <f t="shared" ref="C39:C40" si="3">C38+1</f>
        <v>32</v>
      </c>
      <c r="E39" s="146" t="str">
        <f>CONCATENATE("①",管材表!BG7,"　",管材表!BH7)</f>
        <v>①ｹﾞｰﾄ弁　40A</v>
      </c>
      <c r="F39" s="108">
        <v>2</v>
      </c>
      <c r="G39" s="146" t="str">
        <f>管材表!BI7</f>
        <v>個</v>
      </c>
      <c r="H39" s="152">
        <f>管材表!BJ7</f>
        <v>26700</v>
      </c>
      <c r="I39" s="152">
        <f>管材表!BK7</f>
        <v>17360</v>
      </c>
      <c r="J39" s="151">
        <f>管材表!BL7</f>
        <v>0.16</v>
      </c>
      <c r="K39" s="108" t="s">
        <v>2304</v>
      </c>
      <c r="N39" s="234" t="s">
        <v>2361</v>
      </c>
      <c r="O39" s="234">
        <v>1</v>
      </c>
      <c r="P39" s="224" t="str">
        <f>機器表!EL58</f>
        <v>ｾｯﾄ</v>
      </c>
      <c r="Q39" s="227">
        <f>機器表!EM58</f>
        <v>12400</v>
      </c>
      <c r="R39" s="227">
        <f>機器表!EN58</f>
        <v>5220</v>
      </c>
      <c r="S39" s="235">
        <f>機器表!EO58</f>
        <v>0</v>
      </c>
      <c r="T39" s="234" t="s">
        <v>2280</v>
      </c>
      <c r="W39" s="108" t="s">
        <v>2325</v>
      </c>
      <c r="X39" s="108">
        <v>1</v>
      </c>
      <c r="Y39" s="108" t="s">
        <v>2299</v>
      </c>
      <c r="Z39" s="144">
        <v>20000</v>
      </c>
      <c r="AA39" s="144">
        <v>10000</v>
      </c>
      <c r="AB39" s="145"/>
      <c r="AC39" s="108"/>
      <c r="AE39" s="108" t="s">
        <v>2320</v>
      </c>
      <c r="AF39" s="108">
        <v>1</v>
      </c>
      <c r="AG39" s="108" t="s">
        <v>2290</v>
      </c>
      <c r="AH39" s="148">
        <f>ROUND(項目表!$E$3*標準項!AK39,-3)</f>
        <v>225000</v>
      </c>
      <c r="AI39" s="148">
        <f>ROUND(項目表!$F$3*標準項!AK39,-3)</f>
        <v>139000</v>
      </c>
      <c r="AJ39" s="145"/>
      <c r="AK39" s="174">
        <v>4.7300000000000004</v>
      </c>
      <c r="AN39" s="25" t="s">
        <v>2362</v>
      </c>
      <c r="AO39" s="25">
        <v>1</v>
      </c>
      <c r="AP39" s="25" t="s">
        <v>49</v>
      </c>
      <c r="AQ39" s="28">
        <v>30000</v>
      </c>
      <c r="AR39" s="28">
        <v>15000</v>
      </c>
      <c r="AS39" s="29">
        <v>0</v>
      </c>
      <c r="BC39" s="108"/>
      <c r="BO39" s="25" t="s">
        <v>2419</v>
      </c>
      <c r="BP39" s="25">
        <v>1</v>
      </c>
      <c r="BQ39" s="203" t="str">
        <f>機器表!V18</f>
        <v>台</v>
      </c>
      <c r="BR39" s="202">
        <f>機器表!W23</f>
        <v>537000</v>
      </c>
      <c r="BS39" s="202">
        <f>機器表!X23</f>
        <v>240490</v>
      </c>
      <c r="BT39" s="204">
        <f>機器表!Y23</f>
        <v>0.9</v>
      </c>
      <c r="BU39" s="25" t="s">
        <v>2333</v>
      </c>
    </row>
    <row r="40" spans="1:73">
      <c r="A40" s="25" t="s">
        <v>961</v>
      </c>
      <c r="B40" s="25" t="s">
        <v>2420</v>
      </c>
      <c r="C40" s="25">
        <f t="shared" si="3"/>
        <v>33</v>
      </c>
      <c r="E40" s="146" t="str">
        <f>CONCATENATE("①",管材表!BG5,"　",管材表!BH5)</f>
        <v>①ｹﾞｰﾄ弁　25A</v>
      </c>
      <c r="F40" s="108">
        <v>1</v>
      </c>
      <c r="G40" s="146" t="str">
        <f>管材表!BI5</f>
        <v>個</v>
      </c>
      <c r="H40" s="152">
        <f>管材表!BJ5</f>
        <v>11900</v>
      </c>
      <c r="I40" s="152">
        <f>管材表!BK5</f>
        <v>7740</v>
      </c>
      <c r="J40" s="151">
        <f>管材表!BL5</f>
        <v>0.12</v>
      </c>
      <c r="K40" s="108" t="s">
        <v>2304</v>
      </c>
      <c r="N40" s="108" t="s">
        <v>2325</v>
      </c>
      <c r="O40" s="108">
        <v>1</v>
      </c>
      <c r="P40" s="108" t="s">
        <v>2299</v>
      </c>
      <c r="Q40" s="144">
        <v>20000</v>
      </c>
      <c r="R40" s="144">
        <v>10000</v>
      </c>
      <c r="S40" s="145"/>
      <c r="T40" s="108"/>
      <c r="AE40" s="126" t="s">
        <v>2382</v>
      </c>
      <c r="AF40" s="174">
        <v>1</v>
      </c>
      <c r="AG40" s="174" t="s">
        <v>2299</v>
      </c>
      <c r="AH40" s="73">
        <v>30000</v>
      </c>
      <c r="AI40" s="73">
        <v>20000</v>
      </c>
      <c r="BO40" s="25" t="s">
        <v>2289</v>
      </c>
      <c r="BP40" s="25">
        <v>1</v>
      </c>
      <c r="BQ40" s="25" t="s">
        <v>2290</v>
      </c>
      <c r="BR40" s="73">
        <f>ROUND(項目表!$E$3*標準項!BU40,-3)</f>
        <v>43000</v>
      </c>
      <c r="BS40" s="73">
        <f>ROUND(項目表!$F$3*標準項!BU40,-3)</f>
        <v>26000</v>
      </c>
      <c r="BT40" s="29"/>
      <c r="BU40" s="95">
        <v>0.9</v>
      </c>
    </row>
    <row r="41" spans="1:73">
      <c r="A41" s="25" t="s">
        <v>2421</v>
      </c>
      <c r="E41" s="146" t="str">
        <f>CONCATENATE("①",管材表!BG3,"　",管材表!BH3)</f>
        <v>①ｹﾞｰﾄ弁　15A</v>
      </c>
      <c r="F41" s="108">
        <v>1</v>
      </c>
      <c r="G41" s="146" t="str">
        <f>管材表!BI3</f>
        <v>個</v>
      </c>
      <c r="H41" s="152">
        <f>管材表!BJ3</f>
        <v>6510</v>
      </c>
      <c r="I41" s="152">
        <f>管材表!BK3</f>
        <v>4230</v>
      </c>
      <c r="J41" s="151">
        <f>管材表!BL3</f>
        <v>0.08</v>
      </c>
      <c r="K41" s="108" t="s">
        <v>2304</v>
      </c>
      <c r="AE41" s="108" t="s">
        <v>2422</v>
      </c>
      <c r="AF41" s="108">
        <v>1</v>
      </c>
      <c r="AG41" s="108" t="s">
        <v>2290</v>
      </c>
      <c r="AH41" s="148">
        <f>ROUND(項目表!$E$3*AK41,-3)</f>
        <v>67000</v>
      </c>
      <c r="AI41" s="148">
        <f>ROUND(項目表!$F$3*標準項!AK41,-3)</f>
        <v>41000</v>
      </c>
      <c r="AJ41" s="145"/>
      <c r="AK41" s="157">
        <v>1.4</v>
      </c>
      <c r="AW41" s="51" t="s">
        <v>656</v>
      </c>
      <c r="BO41" s="58" t="str">
        <f>CONCATENATE("③",電材表!Q10,"           ",電材表!R10)</f>
        <v>③CO2ｺﾝﾄﾛｰﾗ           CGC-600SET14</v>
      </c>
      <c r="BP41" s="25">
        <v>1</v>
      </c>
      <c r="BQ41" s="39" t="str">
        <f>電材表!S10</f>
        <v>台</v>
      </c>
      <c r="BR41" s="37">
        <f>電材表!T10</f>
        <v>155000</v>
      </c>
      <c r="BS41" s="37">
        <f>電材表!U10</f>
        <v>89490</v>
      </c>
      <c r="BT41" s="57">
        <f>電材表!V10</f>
        <v>0</v>
      </c>
      <c r="BU41" s="25" t="s">
        <v>2296</v>
      </c>
    </row>
    <row r="42" spans="1:73">
      <c r="A42" s="25" t="s">
        <v>264</v>
      </c>
      <c r="B42" s="25" t="s">
        <v>2423</v>
      </c>
      <c r="C42" s="25">
        <v>34</v>
      </c>
      <c r="E42" s="39" t="str">
        <f>CONCATENATE("①",管材表!BO7,"　",管材表!BP7)</f>
        <v>①ﾁｬｯｷ弁　40A(ｽｲﾝｸﾞ)</v>
      </c>
      <c r="F42" s="25">
        <v>1</v>
      </c>
      <c r="G42" s="146" t="str">
        <f>管材表!BQ7</f>
        <v>個</v>
      </c>
      <c r="H42" s="152">
        <f>管材表!BR7</f>
        <v>21200</v>
      </c>
      <c r="I42" s="152">
        <f>管材表!BS7</f>
        <v>13780</v>
      </c>
      <c r="J42" s="151">
        <f>管材表!BT7</f>
        <v>0.16</v>
      </c>
      <c r="K42" s="25" t="s">
        <v>2304</v>
      </c>
      <c r="AE42" s="108" t="s">
        <v>2388</v>
      </c>
      <c r="AF42" s="108">
        <v>1</v>
      </c>
      <c r="AG42" s="108" t="s">
        <v>2299</v>
      </c>
      <c r="AH42" s="144">
        <v>30000</v>
      </c>
      <c r="AI42" s="144">
        <v>20000</v>
      </c>
      <c r="AJ42" s="145"/>
      <c r="AK42" s="108"/>
      <c r="AW42" s="108" t="s">
        <v>2424</v>
      </c>
      <c r="AX42" s="108">
        <v>1</v>
      </c>
      <c r="AY42" s="39" t="str">
        <f>機器表!V13</f>
        <v>台</v>
      </c>
      <c r="AZ42" s="37">
        <f>機器表!W13</f>
        <v>692000</v>
      </c>
      <c r="BA42" s="37">
        <f>機器表!X13</f>
        <v>259200</v>
      </c>
      <c r="BB42" s="57">
        <f>機器表!Y13</f>
        <v>1</v>
      </c>
      <c r="BC42" s="108" t="s">
        <v>2280</v>
      </c>
      <c r="BF42" s="143" t="s">
        <v>2425</v>
      </c>
      <c r="BG42" s="108"/>
      <c r="BH42" s="108"/>
      <c r="BI42" s="144"/>
      <c r="BJ42" s="144"/>
      <c r="BK42" s="145"/>
      <c r="BL42" s="108"/>
      <c r="BO42" s="58" t="str">
        <f>CONCATENATE("③",電材表!I9,"　　　　 ",電材表!J9)</f>
        <v>③室温ｾﾝｻｰｾｯﾄ　　　　 TS-102P</v>
      </c>
      <c r="BP42" s="25">
        <v>1</v>
      </c>
      <c r="BQ42" s="39" t="str">
        <f>電材表!K9</f>
        <v>個</v>
      </c>
      <c r="BR42" s="37">
        <f>電材表!L9</f>
        <v>18100</v>
      </c>
      <c r="BS42" s="37">
        <f>電材表!M9</f>
        <v>2530</v>
      </c>
      <c r="BT42" s="57">
        <f>電材表!N9</f>
        <v>0</v>
      </c>
      <c r="BU42" s="25" t="s">
        <v>2296</v>
      </c>
    </row>
    <row r="43" spans="1:73">
      <c r="A43" s="25" t="s">
        <v>2426</v>
      </c>
      <c r="E43" s="146" t="str">
        <f>CONCATENATE("①",管材表!DC3,"　",管材表!DD3)</f>
        <v>①Yｽﾄﾚｰﾅ　15A</v>
      </c>
      <c r="F43" s="108">
        <v>1</v>
      </c>
      <c r="G43" s="146" t="str">
        <f>管材表!DE3</f>
        <v>個</v>
      </c>
      <c r="H43" s="152">
        <f>管材表!DF3</f>
        <v>6080</v>
      </c>
      <c r="I43" s="152">
        <f>管材表!DG3</f>
        <v>3950</v>
      </c>
      <c r="J43" s="151">
        <f>管材表!DH3</f>
        <v>0.08</v>
      </c>
      <c r="K43" s="108" t="s">
        <v>2304</v>
      </c>
      <c r="AN43" s="51" t="s">
        <v>2427</v>
      </c>
      <c r="AW43" s="108" t="s">
        <v>2289</v>
      </c>
      <c r="AX43" s="108">
        <v>1</v>
      </c>
      <c r="AY43" s="108" t="s">
        <v>2290</v>
      </c>
      <c r="AZ43" s="148">
        <f>ROUND(項目表!$E$3*標準項!BC43,-3)</f>
        <v>48000</v>
      </c>
      <c r="BA43" s="148">
        <f>ROUND(項目表!$F$3*標準項!BC43,-3)</f>
        <v>29000</v>
      </c>
      <c r="BB43" s="145"/>
      <c r="BC43" s="149">
        <v>1</v>
      </c>
      <c r="BF43" s="108" t="s">
        <v>2428</v>
      </c>
      <c r="BG43" s="108">
        <v>60</v>
      </c>
      <c r="BH43" s="108" t="s">
        <v>1821</v>
      </c>
      <c r="BI43" s="144">
        <f>機器表!BS70</f>
        <v>93000</v>
      </c>
      <c r="BJ43" s="144">
        <f>機器表!BT70</f>
        <v>37000</v>
      </c>
      <c r="BK43" s="145">
        <v>0.61</v>
      </c>
      <c r="BL43" s="108" t="s">
        <v>2280</v>
      </c>
      <c r="BO43" s="58" t="str">
        <f>CONCATENATE("③",電材表!Q19,"　　",電材表!R19)</f>
        <v>③不完全燃焼警報器　　SG-35</v>
      </c>
      <c r="BP43" s="25">
        <v>1</v>
      </c>
      <c r="BQ43" s="39" t="str">
        <f>電材表!S19</f>
        <v>個</v>
      </c>
      <c r="BR43" s="37">
        <f>電材表!T19</f>
        <v>85800</v>
      </c>
      <c r="BS43" s="37">
        <f>電材表!U19</f>
        <v>31120</v>
      </c>
      <c r="BT43" s="57">
        <f>電材表!V19</f>
        <v>0</v>
      </c>
      <c r="BU43" s="25" t="s">
        <v>2295</v>
      </c>
    </row>
    <row r="44" spans="1:73">
      <c r="A44" s="25" t="s">
        <v>563</v>
      </c>
      <c r="B44" s="25" t="s">
        <v>2429</v>
      </c>
      <c r="C44" s="25">
        <v>35</v>
      </c>
      <c r="E44" s="186" t="s">
        <v>2430</v>
      </c>
      <c r="F44" s="186">
        <v>1</v>
      </c>
      <c r="G44" s="186" t="s">
        <v>991</v>
      </c>
      <c r="H44" s="184">
        <f>管材表!FB9</f>
        <v>15500</v>
      </c>
      <c r="I44" s="184">
        <f>管材表!FC9</f>
        <v>2920</v>
      </c>
      <c r="J44" s="189">
        <v>0.1</v>
      </c>
      <c r="K44" s="186" t="s">
        <v>2342</v>
      </c>
      <c r="AE44" s="51" t="s">
        <v>605</v>
      </c>
      <c r="AN44" s="39" t="s">
        <v>2399</v>
      </c>
      <c r="AO44" s="25">
        <v>2</v>
      </c>
      <c r="AP44" s="39" t="str">
        <f>機器表!DF12</f>
        <v>ｾｯﾄ</v>
      </c>
      <c r="AQ44" s="37">
        <f>機器表!DG12</f>
        <v>597000</v>
      </c>
      <c r="AR44" s="37" t="str">
        <f>機器表!DH12</f>
        <v>-</v>
      </c>
      <c r="AS44" s="57">
        <f>機器表!DI12</f>
        <v>1.6</v>
      </c>
      <c r="AT44" s="25" t="s">
        <v>2280</v>
      </c>
      <c r="AW44" s="39" t="str">
        <f>CONCATENATE("③",電材表!Q18,"　",電材表!R18)</f>
        <v>③感震器　BES-100</v>
      </c>
      <c r="AX44" s="108">
        <v>1</v>
      </c>
      <c r="AY44" s="146" t="str">
        <f>電材表!S18</f>
        <v>個</v>
      </c>
      <c r="AZ44" s="152">
        <f>電材表!T18</f>
        <v>20100</v>
      </c>
      <c r="BA44" s="152">
        <f>電材表!U18</f>
        <v>5580</v>
      </c>
      <c r="BB44" s="151">
        <f>電材表!V18</f>
        <v>0</v>
      </c>
      <c r="BC44" s="25" t="s">
        <v>2296</v>
      </c>
      <c r="BF44" s="108" t="s">
        <v>2431</v>
      </c>
      <c r="BG44" s="108">
        <v>8</v>
      </c>
      <c r="BH44" s="108" t="s">
        <v>1821</v>
      </c>
      <c r="BI44" s="144">
        <f>機器表!BS71</f>
        <v>85000</v>
      </c>
      <c r="BJ44" s="144">
        <f>機器表!BT71</f>
        <v>34000</v>
      </c>
      <c r="BK44" s="145">
        <v>0.44</v>
      </c>
      <c r="BL44" s="108" t="s">
        <v>2280</v>
      </c>
      <c r="BO44" s="58" t="str">
        <f>CONCATENATE("③",電材表!Q18,"　　　　　　　",電材表!R18)</f>
        <v>③感震器　　　　　　　BES-100</v>
      </c>
      <c r="BP44" s="25">
        <v>1</v>
      </c>
      <c r="BQ44" s="39" t="str">
        <f>電材表!S18</f>
        <v>個</v>
      </c>
      <c r="BR44" s="37">
        <f>電材表!T18</f>
        <v>20100</v>
      </c>
      <c r="BS44" s="37">
        <f>電材表!U18</f>
        <v>5580</v>
      </c>
      <c r="BT44" s="57">
        <f>電材表!V18</f>
        <v>0</v>
      </c>
      <c r="BU44" s="25" t="s">
        <v>2295</v>
      </c>
    </row>
    <row r="45" spans="1:73">
      <c r="A45" s="25" t="s">
        <v>2432</v>
      </c>
      <c r="E45" s="108" t="s">
        <v>2371</v>
      </c>
      <c r="F45" s="108">
        <v>1</v>
      </c>
      <c r="G45" s="108" t="s">
        <v>2299</v>
      </c>
      <c r="H45" s="144">
        <v>5000</v>
      </c>
      <c r="I45" s="144">
        <v>3000</v>
      </c>
      <c r="J45" s="145">
        <v>0</v>
      </c>
      <c r="K45" s="108"/>
      <c r="AE45" s="108" t="s">
        <v>2433</v>
      </c>
      <c r="AF45" s="108">
        <v>1</v>
      </c>
      <c r="AG45" s="108" t="str">
        <f>機器表!ED11</f>
        <v>基</v>
      </c>
      <c r="AH45" s="144">
        <f>機器表!EE11</f>
        <v>2600000</v>
      </c>
      <c r="AI45" s="144">
        <f>機器表!EF11</f>
        <v>1613000</v>
      </c>
      <c r="AJ45" s="182">
        <f>機器表!EG11</f>
        <v>5.0999999999999996</v>
      </c>
      <c r="AK45" s="108" t="s">
        <v>2280</v>
      </c>
      <c r="AN45" s="25" t="s">
        <v>2401</v>
      </c>
      <c r="AS45" s="29">
        <v>0</v>
      </c>
      <c r="AW45" s="25" t="s">
        <v>2434</v>
      </c>
      <c r="AX45" s="25">
        <v>1</v>
      </c>
      <c r="AY45" s="39" t="str">
        <f>機器表!EL6</f>
        <v>ｾｯﾄ</v>
      </c>
      <c r="AZ45" s="37">
        <f>機器表!EM6</f>
        <v>65700</v>
      </c>
      <c r="BA45" s="37">
        <f>機器表!EN6</f>
        <v>23160</v>
      </c>
      <c r="BB45" s="57">
        <f>機器表!EO6</f>
        <v>0.5</v>
      </c>
      <c r="BC45" s="25" t="s">
        <v>2280</v>
      </c>
      <c r="BF45" s="108" t="s">
        <v>2298</v>
      </c>
      <c r="BG45" s="108">
        <v>1</v>
      </c>
      <c r="BH45" s="108" t="s">
        <v>2299</v>
      </c>
      <c r="BI45" s="144">
        <f>ROUND(項目表!$E$3*BL45,-3)</f>
        <v>341000</v>
      </c>
      <c r="BJ45" s="144">
        <f>ROUND(項目表!$F$3*BL45,-3)</f>
        <v>211000</v>
      </c>
      <c r="BK45" s="145"/>
      <c r="BL45" s="108">
        <v>7.17</v>
      </c>
      <c r="BO45" s="25" t="s">
        <v>2308</v>
      </c>
      <c r="BP45" s="25">
        <v>1</v>
      </c>
      <c r="BQ45" s="25" t="s">
        <v>2299</v>
      </c>
      <c r="BR45" s="28">
        <v>11000</v>
      </c>
      <c r="BS45" s="28">
        <v>7000</v>
      </c>
      <c r="BT45" s="29"/>
    </row>
    <row r="46" spans="1:73">
      <c r="A46" s="25" t="s">
        <v>2435</v>
      </c>
      <c r="B46" s="25" t="s">
        <v>2436</v>
      </c>
      <c r="C46" s="25">
        <v>36</v>
      </c>
      <c r="E46" s="108" t="s">
        <v>2320</v>
      </c>
      <c r="F46" s="108">
        <v>1</v>
      </c>
      <c r="G46" s="108" t="s">
        <v>2290</v>
      </c>
      <c r="H46" s="148">
        <f>ROUND(項目表!$E$3*標準項!K46,-3)</f>
        <v>117000</v>
      </c>
      <c r="I46" s="148">
        <f>ROUND(項目表!$F$3*標準項!K46,-3)</f>
        <v>73000</v>
      </c>
      <c r="J46" s="145"/>
      <c r="K46" s="157">
        <v>2.4700000000000002</v>
      </c>
      <c r="AE46" s="108" t="s">
        <v>2289</v>
      </c>
      <c r="AF46" s="108">
        <v>1</v>
      </c>
      <c r="AG46" s="108" t="s">
        <v>2290</v>
      </c>
      <c r="AH46" s="148">
        <f>ROUND(項目表!$E$3*標準項!AK46,-3)</f>
        <v>242000</v>
      </c>
      <c r="AI46" s="148">
        <f>ROUND(項目表!$F$3*標準項!AK46,-3)</f>
        <v>150000</v>
      </c>
      <c r="AJ46" s="145"/>
      <c r="AK46" s="149">
        <v>5.0999999999999996</v>
      </c>
      <c r="AN46" s="25" t="s">
        <v>2404</v>
      </c>
      <c r="AO46" s="25">
        <v>1</v>
      </c>
      <c r="AP46" s="39" t="str">
        <f>機器表!DF15</f>
        <v>面</v>
      </c>
      <c r="AQ46" s="37">
        <f>機器表!DG19</f>
        <v>71900</v>
      </c>
      <c r="AR46" s="37">
        <f>機器表!DH19</f>
        <v>4500</v>
      </c>
      <c r="AS46" s="57">
        <f>機器表!DI15</f>
        <v>1.6</v>
      </c>
      <c r="AT46" s="25" t="s">
        <v>2280</v>
      </c>
      <c r="AW46" s="108" t="s">
        <v>2311</v>
      </c>
      <c r="AX46" s="108">
        <v>1</v>
      </c>
      <c r="AY46" s="39" t="str">
        <f>機器表!EL24</f>
        <v>本</v>
      </c>
      <c r="AZ46" s="37">
        <f>機器表!EM24</f>
        <v>8470</v>
      </c>
      <c r="BA46" s="37">
        <f>機器表!EN24</f>
        <v>2090</v>
      </c>
      <c r="BB46" s="57">
        <f>機器表!EO24</f>
        <v>0.1</v>
      </c>
      <c r="BC46" s="108" t="s">
        <v>2280</v>
      </c>
      <c r="BF46" s="108" t="s">
        <v>2306</v>
      </c>
      <c r="BG46" s="108">
        <v>40</v>
      </c>
      <c r="BH46" s="108" t="s">
        <v>1821</v>
      </c>
      <c r="BI46" s="144">
        <f>機器表!GA4</f>
        <v>22000</v>
      </c>
      <c r="BJ46" s="144">
        <f>機器表!GB4</f>
        <v>11000</v>
      </c>
      <c r="BK46" s="145">
        <v>0.15</v>
      </c>
      <c r="BL46" s="108" t="s">
        <v>2280</v>
      </c>
      <c r="BO46" s="25" t="s">
        <v>2328</v>
      </c>
      <c r="BP46" s="25">
        <v>1</v>
      </c>
      <c r="BQ46" s="39" t="str">
        <f>機器表!ED4</f>
        <v>基</v>
      </c>
      <c r="BR46" s="37">
        <f>機器表!EE4</f>
        <v>84000</v>
      </c>
      <c r="BS46" s="37">
        <f>機器表!EF4</f>
        <v>26080</v>
      </c>
      <c r="BT46" s="57">
        <f>機器表!EG4</f>
        <v>0.2</v>
      </c>
      <c r="BU46" s="25" t="s">
        <v>2280</v>
      </c>
    </row>
    <row r="47" spans="1:73">
      <c r="A47" s="25" t="s">
        <v>2437</v>
      </c>
      <c r="B47" s="25" t="s">
        <v>2438</v>
      </c>
      <c r="C47" s="25">
        <f t="shared" ref="C47:C58" si="4">C46+1</f>
        <v>37</v>
      </c>
      <c r="E47" s="108" t="s">
        <v>2376</v>
      </c>
      <c r="F47" s="108">
        <v>1</v>
      </c>
      <c r="G47" s="108" t="str">
        <f>項目表!G3</f>
        <v>式</v>
      </c>
      <c r="H47" s="144">
        <v>5000</v>
      </c>
      <c r="I47" s="144">
        <v>3000</v>
      </c>
      <c r="J47" s="145"/>
      <c r="K47" s="108">
        <v>0.12</v>
      </c>
      <c r="N47" s="51" t="s">
        <v>2439</v>
      </c>
      <c r="W47" s="51" t="s">
        <v>587</v>
      </c>
      <c r="AE47" s="108" t="s">
        <v>2396</v>
      </c>
      <c r="AF47" s="108">
        <v>1</v>
      </c>
      <c r="AG47" s="108" t="s">
        <v>2299</v>
      </c>
      <c r="AH47" s="144">
        <v>60000</v>
      </c>
      <c r="AI47" s="144">
        <v>40000</v>
      </c>
      <c r="AJ47" s="145"/>
      <c r="AK47" s="108"/>
      <c r="AN47" s="25" t="s">
        <v>2289</v>
      </c>
      <c r="AO47" s="25">
        <v>2</v>
      </c>
      <c r="AP47" s="25" t="s">
        <v>49</v>
      </c>
      <c r="AQ47" s="28">
        <v>100000</v>
      </c>
      <c r="AR47" s="28">
        <v>50000</v>
      </c>
      <c r="AS47" s="29">
        <v>0</v>
      </c>
      <c r="AW47" s="108" t="s">
        <v>2316</v>
      </c>
      <c r="AX47" s="108">
        <v>1</v>
      </c>
      <c r="AY47" s="39" t="str">
        <f>機器表!EL36</f>
        <v>個</v>
      </c>
      <c r="AZ47" s="37">
        <f>機器表!EM36</f>
        <v>6490</v>
      </c>
      <c r="BA47" s="37">
        <f>機器表!EN36</f>
        <v>1360</v>
      </c>
      <c r="BB47" s="57">
        <f>機器表!EO36</f>
        <v>0.1</v>
      </c>
      <c r="BC47" s="108" t="s">
        <v>2280</v>
      </c>
      <c r="BF47" s="108" t="s">
        <v>2308</v>
      </c>
      <c r="BG47" s="108">
        <v>1</v>
      </c>
      <c r="BH47" s="108" t="s">
        <v>2299</v>
      </c>
      <c r="BI47" s="144">
        <f>ROUND(項目表!$E$3*BL47,-3)</f>
        <v>188000</v>
      </c>
      <c r="BJ47" s="144">
        <f>ROUND(項目表!$F$3*BL47,-3)</f>
        <v>116000</v>
      </c>
      <c r="BK47" s="145"/>
      <c r="BL47" s="108">
        <v>3.96</v>
      </c>
      <c r="BO47" s="25" t="s">
        <v>2335</v>
      </c>
      <c r="BP47" s="25">
        <v>1</v>
      </c>
      <c r="BQ47" s="25" t="s">
        <v>2290</v>
      </c>
      <c r="BR47" s="73">
        <f>ROUND(項目表!$E$3*標準項!BU47,-3)</f>
        <v>10000</v>
      </c>
      <c r="BS47" s="73">
        <f>ROUND(項目表!$F$3*標準項!BU47,-3)</f>
        <v>6000</v>
      </c>
      <c r="BT47" s="29"/>
      <c r="BU47" s="75">
        <f>BT46</f>
        <v>0.2</v>
      </c>
    </row>
    <row r="48" spans="1:73">
      <c r="A48" s="25" t="s">
        <v>2440</v>
      </c>
      <c r="B48" s="25" t="s">
        <v>2441</v>
      </c>
      <c r="C48" s="25">
        <f t="shared" si="4"/>
        <v>38</v>
      </c>
      <c r="E48" s="108" t="s">
        <v>2325</v>
      </c>
      <c r="F48" s="108">
        <v>1</v>
      </c>
      <c r="G48" s="108" t="s">
        <v>2299</v>
      </c>
      <c r="H48" s="148">
        <v>15000</v>
      </c>
      <c r="I48" s="148">
        <v>7500</v>
      </c>
      <c r="J48" s="145">
        <v>0</v>
      </c>
      <c r="K48" s="108"/>
      <c r="N48" s="234" t="s">
        <v>2442</v>
      </c>
      <c r="O48" s="108">
        <v>1</v>
      </c>
      <c r="P48" s="147" t="str">
        <f>機器表!N10</f>
        <v>台</v>
      </c>
      <c r="Q48" s="36">
        <f>機器表!O10</f>
        <v>1424000</v>
      </c>
      <c r="R48" s="36">
        <f>機器表!P10</f>
        <v>593740</v>
      </c>
      <c r="S48" s="56">
        <f>機器表!Q10</f>
        <v>1.7</v>
      </c>
      <c r="T48" s="108" t="s">
        <v>2280</v>
      </c>
      <c r="W48" s="234" t="s">
        <v>2443</v>
      </c>
      <c r="X48" s="108">
        <v>1</v>
      </c>
      <c r="Y48" s="203" t="str">
        <f>機器表!N11</f>
        <v>台</v>
      </c>
      <c r="Z48" s="202">
        <f>機器表!O11</f>
        <v>1478000</v>
      </c>
      <c r="AA48" s="202">
        <f>機器表!P11</f>
        <v>620960</v>
      </c>
      <c r="AB48" s="204">
        <f>機器表!Q11</f>
        <v>1.7</v>
      </c>
      <c r="AC48" s="108" t="s">
        <v>2280</v>
      </c>
      <c r="AE48" s="146" t="str">
        <f>CONCATENATE("①",管材表!K9,"　",管材表!L9)</f>
        <v>①SGP鋼管(白)　65A</v>
      </c>
      <c r="AF48" s="108">
        <v>4</v>
      </c>
      <c r="AG48" s="146" t="str">
        <f>管材表!M9</f>
        <v>m</v>
      </c>
      <c r="AH48" s="152">
        <f>管材表!N9</f>
        <v>13540</v>
      </c>
      <c r="AI48" s="152">
        <f>管材表!O9</f>
        <v>7180</v>
      </c>
      <c r="AJ48" s="151">
        <f>管材表!P9</f>
        <v>0.37</v>
      </c>
      <c r="AK48" s="108" t="s">
        <v>2304</v>
      </c>
      <c r="AN48" s="126" t="s">
        <v>2310</v>
      </c>
      <c r="AO48" s="126">
        <v>2</v>
      </c>
      <c r="AP48" s="126" t="s">
        <v>49</v>
      </c>
      <c r="AQ48" s="73">
        <v>150000</v>
      </c>
      <c r="AR48" s="73">
        <v>70000</v>
      </c>
      <c r="AS48" s="173">
        <v>0</v>
      </c>
      <c r="AW48" s="108" t="s">
        <v>2318</v>
      </c>
      <c r="AX48" s="108">
        <v>1</v>
      </c>
      <c r="AY48" s="108" t="s">
        <v>1824</v>
      </c>
      <c r="AZ48" s="144">
        <v>15000</v>
      </c>
      <c r="BA48" s="144">
        <v>10000</v>
      </c>
      <c r="BB48" s="145">
        <v>0</v>
      </c>
      <c r="BC48" s="108"/>
      <c r="BF48" s="146" t="str">
        <f>CONCATENATE("①",管材表!DK15,"　",管材表!DL15)</f>
        <v>①電動ﾎﾞｰﾙ弁(3方)　50A</v>
      </c>
      <c r="BG48" s="108">
        <v>1</v>
      </c>
      <c r="BH48" s="146" t="str">
        <f>管材表!DM15</f>
        <v xml:space="preserve">個  </v>
      </c>
      <c r="BI48" s="152">
        <f>管材表!DN15</f>
        <v>85300</v>
      </c>
      <c r="BJ48" s="152">
        <f>管材表!DO15</f>
        <v>55450</v>
      </c>
      <c r="BK48" s="151">
        <f>管材表!DP15</f>
        <v>0.18</v>
      </c>
      <c r="BL48" s="108" t="s">
        <v>2304</v>
      </c>
      <c r="BO48" s="25" t="s">
        <v>2340</v>
      </c>
      <c r="BP48" s="25">
        <v>1</v>
      </c>
      <c r="BQ48" s="25" t="s">
        <v>2290</v>
      </c>
      <c r="BR48" s="73">
        <f>ROUND(項目表!$E$3*標準項!BU48,-3)</f>
        <v>10000</v>
      </c>
      <c r="BS48" s="73">
        <f>ROUND(項目表!$F$3*標準項!BU48,-3)</f>
        <v>6000</v>
      </c>
      <c r="BT48" s="29"/>
      <c r="BU48" s="75">
        <f>BT46</f>
        <v>0.2</v>
      </c>
    </row>
    <row r="49" spans="1:73">
      <c r="A49" s="25" t="s">
        <v>2444</v>
      </c>
      <c r="B49" s="25" t="s">
        <v>2445</v>
      </c>
      <c r="C49" s="25">
        <f t="shared" si="4"/>
        <v>39</v>
      </c>
      <c r="N49" s="108" t="s">
        <v>2289</v>
      </c>
      <c r="O49" s="108">
        <v>1</v>
      </c>
      <c r="P49" s="108" t="s">
        <v>2290</v>
      </c>
      <c r="Q49" s="148">
        <f>ROUND(項目表!$E$3*標準項!T49,-3)</f>
        <v>78000</v>
      </c>
      <c r="R49" s="148">
        <f>ROUND(項目表!$F$3*標準項!T49,-3)</f>
        <v>49000</v>
      </c>
      <c r="S49" s="242"/>
      <c r="T49" s="149">
        <v>1.65</v>
      </c>
      <c r="W49" s="108" t="s">
        <v>2289</v>
      </c>
      <c r="X49" s="108">
        <v>1</v>
      </c>
      <c r="Y49" s="108" t="s">
        <v>2290</v>
      </c>
      <c r="Z49" s="148">
        <f>ROUND(項目表!$E$3*標準項!AC49,-3)</f>
        <v>78000</v>
      </c>
      <c r="AA49" s="148">
        <f>ROUND(項目表!$F$3*標準項!AC49,-3)</f>
        <v>49000</v>
      </c>
      <c r="AB49" s="145"/>
      <c r="AC49" s="149">
        <v>1.65</v>
      </c>
      <c r="AE49" s="174" t="str">
        <f>CONCATENATE("①",管材表!AA7,"　",管材表!AB7)</f>
        <v>①外面被覆鋼管　40A</v>
      </c>
      <c r="AF49" s="174">
        <v>20</v>
      </c>
      <c r="AG49" s="148" t="str">
        <f>管材表!AC7</f>
        <v>m</v>
      </c>
      <c r="AH49" s="148">
        <f>管材表!AD7</f>
        <v>5180</v>
      </c>
      <c r="AI49" s="148">
        <f>管材表!AE7</f>
        <v>3890</v>
      </c>
      <c r="AJ49" s="177">
        <f>管材表!AF7</f>
        <v>0.23</v>
      </c>
      <c r="AK49" s="108" t="s">
        <v>2304</v>
      </c>
      <c r="AN49" s="25" t="s">
        <v>2315</v>
      </c>
      <c r="AO49" s="25">
        <v>2</v>
      </c>
      <c r="AP49" s="25" t="s">
        <v>49</v>
      </c>
      <c r="AQ49" s="28">
        <v>9600</v>
      </c>
      <c r="AR49" s="28">
        <v>6000</v>
      </c>
      <c r="AS49" s="29">
        <v>0</v>
      </c>
      <c r="AW49" s="108" t="s">
        <v>2327</v>
      </c>
      <c r="AX49" s="108">
        <v>1</v>
      </c>
      <c r="AY49" s="108" t="s">
        <v>2299</v>
      </c>
      <c r="AZ49" s="148">
        <f>ROUND(項目表!$E$3*BC49,-3)</f>
        <v>36000</v>
      </c>
      <c r="BA49" s="148">
        <f>ROUND(項目表!$F$3*標準項!BC49,-3)</f>
        <v>22000</v>
      </c>
      <c r="BB49" s="145"/>
      <c r="BC49" s="157">
        <v>0.75</v>
      </c>
      <c r="BF49" s="146" t="str">
        <f>CONCATENATE("①",管材表!K9,"　",管材表!L9)</f>
        <v>①SGP鋼管(白)　65A</v>
      </c>
      <c r="BG49" s="108">
        <v>40</v>
      </c>
      <c r="BH49" s="146" t="str">
        <f>管材表!M9</f>
        <v>m</v>
      </c>
      <c r="BI49" s="152">
        <f>管材表!N9</f>
        <v>13540</v>
      </c>
      <c r="BJ49" s="152">
        <f>管材表!O9</f>
        <v>7180</v>
      </c>
      <c r="BK49" s="151">
        <f>管材表!P9</f>
        <v>0.37</v>
      </c>
      <c r="BL49" s="108" t="s">
        <v>2304</v>
      </c>
      <c r="BO49" s="26" t="s">
        <v>2348</v>
      </c>
      <c r="BP49" s="25">
        <v>1</v>
      </c>
      <c r="BQ49" s="39" t="str">
        <f>管材表!FA6</f>
        <v>個</v>
      </c>
      <c r="BR49" s="37">
        <f>管材表!FB6</f>
        <v>11800</v>
      </c>
      <c r="BS49" s="37">
        <f>管材表!FC6</f>
        <v>4430</v>
      </c>
      <c r="BT49" s="57">
        <f>管材表!FD6</f>
        <v>0.3</v>
      </c>
      <c r="BU49" s="25" t="s">
        <v>2304</v>
      </c>
    </row>
    <row r="50" spans="1:73">
      <c r="A50" s="25" t="s">
        <v>2446</v>
      </c>
      <c r="B50" s="25" t="s">
        <v>2447</v>
      </c>
      <c r="C50" s="25">
        <f t="shared" si="4"/>
        <v>40</v>
      </c>
      <c r="L50" s="108"/>
      <c r="N50" s="39" t="str">
        <f>CONCATENATE("③",電材表!Q18,"　",電材表!R18)</f>
        <v>③感震器　BES-100</v>
      </c>
      <c r="O50" s="108">
        <v>1</v>
      </c>
      <c r="P50" s="146" t="str">
        <f>電材表!S18</f>
        <v>個</v>
      </c>
      <c r="Q50" s="37">
        <f>電材表!T18</f>
        <v>20100</v>
      </c>
      <c r="R50" s="37">
        <f>電材表!U18</f>
        <v>5580</v>
      </c>
      <c r="S50" s="235">
        <f>電材表!V18</f>
        <v>0</v>
      </c>
      <c r="T50" s="25" t="s">
        <v>2296</v>
      </c>
      <c r="W50" s="39" t="str">
        <f>CONCATENATE("③",電材表!Q18,"　",電材表!R18)</f>
        <v>③感震器　BES-100</v>
      </c>
      <c r="X50" s="108">
        <v>1</v>
      </c>
      <c r="Y50" s="146" t="str">
        <f>電材表!S18</f>
        <v>個</v>
      </c>
      <c r="Z50" s="37">
        <f>電材表!T18</f>
        <v>20100</v>
      </c>
      <c r="AA50" s="37">
        <f>電材表!U18</f>
        <v>5580</v>
      </c>
      <c r="AB50" s="57">
        <f>電材表!V18</f>
        <v>0</v>
      </c>
      <c r="AC50" s="25" t="s">
        <v>2296</v>
      </c>
      <c r="AE50" s="146" t="str">
        <f>CONCATENATE("①",管材表!CM11,"　",管材表!CN11)</f>
        <v>①ﾏﾚｰﾌﾞﾙ弁　65A(ﾌﾗﾝｼﾞ)</v>
      </c>
      <c r="AF50" s="108">
        <v>1</v>
      </c>
      <c r="AG50" s="146" t="str">
        <f>管材表!CO11</f>
        <v>個</v>
      </c>
      <c r="AH50" s="152">
        <f>管材表!CP11</f>
        <v>112000</v>
      </c>
      <c r="AI50" s="152">
        <f>管材表!CQ11</f>
        <v>72800</v>
      </c>
      <c r="AJ50" s="151">
        <f>管材表!CR11</f>
        <v>0.32</v>
      </c>
      <c r="AK50" s="108" t="s">
        <v>2304</v>
      </c>
      <c r="AN50" s="25" t="s">
        <v>2321</v>
      </c>
      <c r="AO50" s="25">
        <v>2</v>
      </c>
      <c r="AP50" s="25" t="s">
        <v>49</v>
      </c>
      <c r="AQ50" s="28">
        <v>6000</v>
      </c>
      <c r="AR50" s="28">
        <v>3000</v>
      </c>
      <c r="AS50" s="29">
        <v>0</v>
      </c>
      <c r="AW50" s="108" t="s">
        <v>2334</v>
      </c>
      <c r="AX50" s="108">
        <v>1</v>
      </c>
      <c r="AY50" s="108" t="s">
        <v>2299</v>
      </c>
      <c r="AZ50" s="144">
        <v>15000</v>
      </c>
      <c r="BA50" s="144">
        <v>10000</v>
      </c>
      <c r="BB50" s="145">
        <v>0</v>
      </c>
      <c r="BC50" s="108"/>
      <c r="BF50" s="146" t="str">
        <f>CONCATENATE("①",管材表!K8,"　",管材表!L8)</f>
        <v>①SGP鋼管(白)　50A</v>
      </c>
      <c r="BG50" s="108">
        <v>10</v>
      </c>
      <c r="BH50" s="146" t="str">
        <f>管材表!M8</f>
        <v>m</v>
      </c>
      <c r="BI50" s="152">
        <f>管材表!N8</f>
        <v>9480</v>
      </c>
      <c r="BJ50" s="152">
        <f>管材表!O8</f>
        <v>5020</v>
      </c>
      <c r="BK50" s="151">
        <f>管材表!P8</f>
        <v>0.28999999999999998</v>
      </c>
      <c r="BL50" s="108" t="s">
        <v>2304</v>
      </c>
      <c r="BO50" s="108" t="s">
        <v>2402</v>
      </c>
      <c r="BP50" s="108">
        <v>1</v>
      </c>
      <c r="BQ50" s="146" t="str">
        <f>管材表!FA8</f>
        <v>個</v>
      </c>
      <c r="BR50" s="165">
        <f>管材表!FB8</f>
        <v>18000</v>
      </c>
      <c r="BS50" s="165">
        <f>管材表!FC8</f>
        <v>4600</v>
      </c>
      <c r="BT50" s="179">
        <f>管材表!FD8</f>
        <v>0.2</v>
      </c>
      <c r="BU50" s="108" t="s">
        <v>2304</v>
      </c>
    </row>
    <row r="51" spans="1:73">
      <c r="A51" s="25" t="s">
        <v>2448</v>
      </c>
      <c r="B51" s="25" t="s">
        <v>2449</v>
      </c>
      <c r="C51" s="25">
        <f t="shared" si="4"/>
        <v>41</v>
      </c>
      <c r="L51" s="108"/>
      <c r="N51" s="234" t="s">
        <v>2450</v>
      </c>
      <c r="O51" s="108">
        <v>1</v>
      </c>
      <c r="P51" s="39" t="str">
        <f>機器表!EL16</f>
        <v>ｾｯﾄ</v>
      </c>
      <c r="Q51" s="37">
        <f>機器表!EM16</f>
        <v>126000</v>
      </c>
      <c r="R51" s="37">
        <f>機器表!EN16</f>
        <v>40000</v>
      </c>
      <c r="S51" s="57">
        <f>機器表!EO16</f>
        <v>0.5</v>
      </c>
      <c r="T51" s="108" t="s">
        <v>2280</v>
      </c>
      <c r="W51" s="234" t="s">
        <v>2450</v>
      </c>
      <c r="X51" s="108">
        <v>1</v>
      </c>
      <c r="Y51" s="39" t="str">
        <f>機器表!EL16</f>
        <v>ｾｯﾄ</v>
      </c>
      <c r="Z51" s="37">
        <f>機器表!EM16</f>
        <v>126000</v>
      </c>
      <c r="AA51" s="37">
        <f>機器表!EN16</f>
        <v>40000</v>
      </c>
      <c r="AB51" s="57">
        <f>機器表!EO16</f>
        <v>0.5</v>
      </c>
      <c r="AC51" s="108" t="s">
        <v>2280</v>
      </c>
      <c r="AE51" s="174" t="str">
        <f>CONCATENATE("①",管材表!CM8,"　",管材表!CN8)</f>
        <v>①ﾏﾚｰﾌﾞﾙ弁　50A</v>
      </c>
      <c r="AF51" s="174">
        <v>2</v>
      </c>
      <c r="AG51" s="174" t="str">
        <f>管材表!CO8</f>
        <v>個</v>
      </c>
      <c r="AH51" s="148">
        <f>管材表!CP8</f>
        <v>41100</v>
      </c>
      <c r="AI51" s="148">
        <f>管材表!CQ8</f>
        <v>26720</v>
      </c>
      <c r="AJ51" s="175">
        <f>管材表!CR8</f>
        <v>0.18</v>
      </c>
      <c r="AN51" s="25" t="s">
        <v>2417</v>
      </c>
      <c r="AO51" s="25">
        <v>1</v>
      </c>
      <c r="AP51" s="25" t="s">
        <v>49</v>
      </c>
      <c r="AQ51" s="28">
        <v>5000</v>
      </c>
      <c r="AR51" s="28">
        <v>2500</v>
      </c>
      <c r="AS51" s="29">
        <v>0</v>
      </c>
      <c r="AW51" s="108" t="s">
        <v>2325</v>
      </c>
      <c r="AX51" s="108">
        <v>1</v>
      </c>
      <c r="AY51" s="108" t="s">
        <v>2299</v>
      </c>
      <c r="AZ51" s="73">
        <v>15000</v>
      </c>
      <c r="BA51" s="73">
        <v>7500</v>
      </c>
      <c r="BB51" s="145">
        <v>0</v>
      </c>
      <c r="BF51" s="146" t="str">
        <f>CONCATENATE("①",管材表!BG8,"　",管材表!BH8)</f>
        <v>①ｹﾞｰﾄ弁　50A</v>
      </c>
      <c r="BG51" s="108">
        <v>2</v>
      </c>
      <c r="BH51" s="146" t="str">
        <f>管材表!BI8</f>
        <v>個</v>
      </c>
      <c r="BI51" s="152">
        <f>管材表!BJ8</f>
        <v>39100</v>
      </c>
      <c r="BJ51" s="152">
        <f>管材表!BK8</f>
        <v>25420</v>
      </c>
      <c r="BK51" s="151">
        <f>管材表!BL8</f>
        <v>0.18</v>
      </c>
      <c r="BL51" s="108" t="s">
        <v>2304</v>
      </c>
      <c r="BO51" s="146" t="str">
        <f>CONCATENATE("①",管材表!CM3,"　",管材表!CN3)</f>
        <v>①ﾏﾚｰﾌﾞﾙ弁　15A</v>
      </c>
      <c r="BP51" s="108">
        <v>1</v>
      </c>
      <c r="BQ51" s="146" t="str">
        <f>管材表!CO3</f>
        <v>個</v>
      </c>
      <c r="BR51" s="165">
        <f>管材表!CP3</f>
        <v>12200</v>
      </c>
      <c r="BS51" s="165">
        <f>管材表!CQ3</f>
        <v>7930</v>
      </c>
      <c r="BT51" s="179">
        <f>管材表!CR3</f>
        <v>0.08</v>
      </c>
      <c r="BU51" s="108" t="s">
        <v>2304</v>
      </c>
    </row>
    <row r="52" spans="1:73">
      <c r="A52" s="25" t="s">
        <v>2451</v>
      </c>
      <c r="B52" s="25" t="s">
        <v>2452</v>
      </c>
      <c r="C52" s="25">
        <f t="shared" si="4"/>
        <v>42</v>
      </c>
      <c r="E52" s="51" t="s">
        <v>2300</v>
      </c>
      <c r="N52" s="108" t="s">
        <v>2308</v>
      </c>
      <c r="O52" s="108">
        <v>1</v>
      </c>
      <c r="P52" s="108" t="s">
        <v>2290</v>
      </c>
      <c r="Q52" s="150">
        <f>ROUND(項目表!$E$3*標準項!T52,-3)</f>
        <v>24000</v>
      </c>
      <c r="R52" s="150">
        <f>ROUND(項目表!$F$3*標準項!T52,-3)</f>
        <v>15000</v>
      </c>
      <c r="S52" s="145"/>
      <c r="T52" s="154">
        <f>S51</f>
        <v>0.5</v>
      </c>
      <c r="W52" s="108" t="s">
        <v>2308</v>
      </c>
      <c r="X52" s="108">
        <v>1</v>
      </c>
      <c r="Y52" s="108" t="s">
        <v>2290</v>
      </c>
      <c r="Z52" s="148">
        <f>ROUND(項目表!$E$3*標準項!AC52,-3)</f>
        <v>24000</v>
      </c>
      <c r="AA52" s="148">
        <f>ROUND(項目表!$F$3*標準項!AC52,-3)</f>
        <v>15000</v>
      </c>
      <c r="AB52" s="145"/>
      <c r="AC52" s="154">
        <f>AB51</f>
        <v>0.5</v>
      </c>
      <c r="AE52" s="108" t="s">
        <v>2408</v>
      </c>
      <c r="AF52" s="108">
        <v>1</v>
      </c>
      <c r="AG52" s="108" t="s">
        <v>1821</v>
      </c>
      <c r="AH52" s="144">
        <f>管材表!DV22</f>
        <v>26000</v>
      </c>
      <c r="AI52" s="144">
        <f>管材表!DW22</f>
        <v>6760</v>
      </c>
      <c r="AJ52" s="145">
        <v>0.37</v>
      </c>
      <c r="AK52" s="108" t="s">
        <v>2304</v>
      </c>
      <c r="AN52" s="25" t="s">
        <v>2362</v>
      </c>
      <c r="AO52" s="25">
        <v>1</v>
      </c>
      <c r="AP52" s="25" t="s">
        <v>49</v>
      </c>
      <c r="AQ52" s="28">
        <v>30000</v>
      </c>
      <c r="AR52" s="73">
        <v>15000</v>
      </c>
      <c r="AS52" s="29">
        <v>0</v>
      </c>
      <c r="BC52" s="108"/>
      <c r="BF52" s="146" t="str">
        <f>CONCATENATE("①",管材表!BG3,"　",管材表!BH3)</f>
        <v>①ｹﾞｰﾄ弁　15A</v>
      </c>
      <c r="BG52" s="108">
        <v>4</v>
      </c>
      <c r="BH52" s="146" t="str">
        <f>管材表!BI3</f>
        <v>個</v>
      </c>
      <c r="BI52" s="152">
        <f>管材表!BJ3</f>
        <v>6510</v>
      </c>
      <c r="BJ52" s="152">
        <f>管材表!BK3</f>
        <v>4230</v>
      </c>
      <c r="BK52" s="151">
        <f>管材表!BL3</f>
        <v>0.08</v>
      </c>
      <c r="BL52" s="108" t="s">
        <v>2304</v>
      </c>
      <c r="BO52" s="108" t="s">
        <v>2320</v>
      </c>
      <c r="BP52" s="108">
        <v>1</v>
      </c>
      <c r="BQ52" s="108" t="s">
        <v>2290</v>
      </c>
      <c r="BR52" s="148">
        <f>ROUND(項目表!$E$3*標準項!BU52,-3)</f>
        <v>28000</v>
      </c>
      <c r="BS52" s="148">
        <f>ROUND(項目表!$F$3*標準項!BU52,-3)</f>
        <v>17000</v>
      </c>
      <c r="BT52" s="145"/>
      <c r="BU52" s="157">
        <v>0.57999999999999996</v>
      </c>
    </row>
    <row r="53" spans="1:73">
      <c r="A53" s="25" t="s">
        <v>2453</v>
      </c>
      <c r="B53" s="25" t="s">
        <v>2454</v>
      </c>
      <c r="C53" s="25">
        <f t="shared" si="4"/>
        <v>43</v>
      </c>
      <c r="E53" s="146" t="str">
        <f>CONCATENATE("○",機器表!AB8,"　",機器表!AC8)</f>
        <v>○ﾊｳｽﾎﾞｲﾗ　HB-807TGA5</v>
      </c>
      <c r="F53" s="108">
        <v>1</v>
      </c>
      <c r="G53" s="147" t="str">
        <f>機器表!AD8</f>
        <v>台</v>
      </c>
      <c r="H53" s="36">
        <f>機器表!AE8</f>
        <v>1511000</v>
      </c>
      <c r="I53" s="36">
        <f>機器表!AF8</f>
        <v>619670</v>
      </c>
      <c r="J53" s="56">
        <f>機器表!AG8</f>
        <v>1.6</v>
      </c>
      <c r="K53" s="108" t="s">
        <v>2280</v>
      </c>
      <c r="L53" s="108"/>
      <c r="N53" s="108" t="s">
        <v>2455</v>
      </c>
      <c r="O53" s="108">
        <v>1</v>
      </c>
      <c r="P53" s="39" t="str">
        <f>機器表!EL10</f>
        <v>ｾｯﾄ</v>
      </c>
      <c r="Q53" s="37">
        <f>機器表!EM10</f>
        <v>108400</v>
      </c>
      <c r="R53" s="37">
        <f>機器表!EN10</f>
        <v>37760</v>
      </c>
      <c r="S53" s="57">
        <f>機器表!EO10</f>
        <v>0.7</v>
      </c>
      <c r="T53" s="108" t="s">
        <v>2280</v>
      </c>
      <c r="W53" s="108" t="s">
        <v>2455</v>
      </c>
      <c r="X53" s="108">
        <v>1</v>
      </c>
      <c r="Y53" s="39" t="str">
        <f>機器表!EL10</f>
        <v>ｾｯﾄ</v>
      </c>
      <c r="Z53" s="37">
        <f>機器表!EM10</f>
        <v>108400</v>
      </c>
      <c r="AA53" s="37">
        <f>機器表!EN10</f>
        <v>37760</v>
      </c>
      <c r="AB53" s="57">
        <f>機器表!EO10</f>
        <v>0.7</v>
      </c>
      <c r="AC53" s="108" t="s">
        <v>2280</v>
      </c>
      <c r="AE53" s="108" t="s">
        <v>2456</v>
      </c>
      <c r="AF53" s="108">
        <v>1</v>
      </c>
      <c r="AG53" s="108" t="s">
        <v>1821</v>
      </c>
      <c r="AH53" s="144">
        <f>管材表!DV21</f>
        <v>22700</v>
      </c>
      <c r="AI53" s="144">
        <f>管材表!DW21</f>
        <v>5900</v>
      </c>
      <c r="AJ53" s="145">
        <v>0.22</v>
      </c>
      <c r="AK53" s="108" t="s">
        <v>2304</v>
      </c>
      <c r="AR53" s="73"/>
      <c r="BF53" s="108" t="s">
        <v>2339</v>
      </c>
      <c r="BG53" s="108">
        <v>4</v>
      </c>
      <c r="BH53" s="108" t="s">
        <v>1824</v>
      </c>
      <c r="BI53" s="144">
        <f>管材表!ET12</f>
        <v>36100</v>
      </c>
      <c r="BJ53" s="144">
        <f>管材表!EU12</f>
        <v>28880</v>
      </c>
      <c r="BK53" s="145">
        <v>0.08</v>
      </c>
      <c r="BL53" s="108" t="s">
        <v>2304</v>
      </c>
      <c r="BO53" s="108" t="s">
        <v>2325</v>
      </c>
      <c r="BP53" s="108">
        <v>1</v>
      </c>
      <c r="BQ53" s="108" t="s">
        <v>2299</v>
      </c>
      <c r="BR53" s="148">
        <v>20000</v>
      </c>
      <c r="BS53" s="148">
        <v>10000</v>
      </c>
      <c r="BT53" s="145"/>
      <c r="BU53" s="108"/>
    </row>
    <row r="54" spans="1:73">
      <c r="A54" s="25" t="s">
        <v>2457</v>
      </c>
      <c r="B54" s="25" t="s">
        <v>2458</v>
      </c>
      <c r="C54" s="25">
        <f t="shared" si="4"/>
        <v>44</v>
      </c>
      <c r="E54" s="108" t="s">
        <v>2289</v>
      </c>
      <c r="F54" s="108">
        <v>1</v>
      </c>
      <c r="G54" s="108" t="s">
        <v>2290</v>
      </c>
      <c r="H54" s="150">
        <f>ROUND(項目表!$E$3*標準項!K54,-3)</f>
        <v>75000</v>
      </c>
      <c r="I54" s="150">
        <f>ROUND(項目表!$F$3*標準項!K54,-3)</f>
        <v>46000</v>
      </c>
      <c r="J54" s="145"/>
      <c r="K54" s="149">
        <v>1.57</v>
      </c>
      <c r="L54" s="108"/>
      <c r="N54" s="108" t="s">
        <v>2459</v>
      </c>
      <c r="O54" s="108">
        <v>2</v>
      </c>
      <c r="P54" s="39" t="str">
        <f>機器表!EL27</f>
        <v>本</v>
      </c>
      <c r="Q54" s="37">
        <f>機器表!EM27</f>
        <v>12600</v>
      </c>
      <c r="R54" s="37">
        <f>機器表!EN27</f>
        <v>3340</v>
      </c>
      <c r="S54" s="57">
        <f>機器表!EO27</f>
        <v>0.1</v>
      </c>
      <c r="T54" s="108" t="s">
        <v>2280</v>
      </c>
      <c r="W54" s="108" t="s">
        <v>2459</v>
      </c>
      <c r="X54" s="108">
        <v>2</v>
      </c>
      <c r="Y54" s="39" t="str">
        <f>機器表!EL27</f>
        <v>本</v>
      </c>
      <c r="Z54" s="37">
        <f>機器表!EM27</f>
        <v>12600</v>
      </c>
      <c r="AA54" s="37">
        <f>機器表!EN27</f>
        <v>3340</v>
      </c>
      <c r="AB54" s="57">
        <f>機器表!EO27</f>
        <v>0.1</v>
      </c>
      <c r="AC54" s="108" t="s">
        <v>2280</v>
      </c>
      <c r="AE54" s="108" t="s">
        <v>2460</v>
      </c>
      <c r="AF54" s="108">
        <v>1</v>
      </c>
      <c r="AG54" s="108" t="s">
        <v>1824</v>
      </c>
      <c r="AH54" s="144">
        <v>15000</v>
      </c>
      <c r="AI54" s="144">
        <v>10000</v>
      </c>
      <c r="AJ54" s="145"/>
      <c r="AK54" s="108" t="s">
        <v>2304</v>
      </c>
      <c r="AW54" s="51" t="s">
        <v>252</v>
      </c>
      <c r="BF54" s="108" t="s">
        <v>2347</v>
      </c>
      <c r="BG54" s="108">
        <v>1</v>
      </c>
      <c r="BH54" s="108" t="s">
        <v>2299</v>
      </c>
      <c r="BI54" s="144">
        <v>131400</v>
      </c>
      <c r="BJ54" s="144">
        <v>87600</v>
      </c>
      <c r="BK54" s="145">
        <v>0</v>
      </c>
      <c r="BL54" s="108"/>
    </row>
    <row r="55" spans="1:73">
      <c r="A55" s="25" t="s">
        <v>2461</v>
      </c>
      <c r="B55" s="25" t="s">
        <v>2462</v>
      </c>
      <c r="C55" s="25">
        <f t="shared" si="4"/>
        <v>45</v>
      </c>
      <c r="E55" s="39" t="str">
        <f>CONCATENATE("③",電材表!Q18,"　",電材表!R18)</f>
        <v>③感震器　BES-100</v>
      </c>
      <c r="F55" s="108">
        <v>1</v>
      </c>
      <c r="G55" s="146" t="str">
        <f>電材表!S18</f>
        <v>個</v>
      </c>
      <c r="H55" s="37">
        <f>電材表!T18</f>
        <v>20100</v>
      </c>
      <c r="I55" s="37">
        <f>電材表!U18</f>
        <v>5580</v>
      </c>
      <c r="J55" s="57">
        <f>電材表!V18</f>
        <v>0</v>
      </c>
      <c r="K55" s="25" t="s">
        <v>2295</v>
      </c>
      <c r="L55" s="108"/>
      <c r="N55" s="108" t="s">
        <v>2463</v>
      </c>
      <c r="O55" s="108">
        <v>1</v>
      </c>
      <c r="P55" s="39" t="str">
        <f>機器表!EL39</f>
        <v>個</v>
      </c>
      <c r="Q55" s="37">
        <f>機器表!EM39</f>
        <v>16000</v>
      </c>
      <c r="R55" s="37">
        <f>機器表!EN39</f>
        <v>2820</v>
      </c>
      <c r="S55" s="57">
        <f>機器表!EO39</f>
        <v>0.1</v>
      </c>
      <c r="T55" s="108" t="s">
        <v>2280</v>
      </c>
      <c r="W55" s="108" t="s">
        <v>2463</v>
      </c>
      <c r="X55" s="108">
        <v>1</v>
      </c>
      <c r="Y55" s="39" t="str">
        <f>機器表!EL39</f>
        <v>個</v>
      </c>
      <c r="Z55" s="37">
        <f>機器表!EM39</f>
        <v>16000</v>
      </c>
      <c r="AA55" s="37">
        <f>機器表!EN39</f>
        <v>2820</v>
      </c>
      <c r="AB55" s="57">
        <f>機器表!EO39</f>
        <v>0.1</v>
      </c>
      <c r="AC55" s="108" t="s">
        <v>2280</v>
      </c>
      <c r="AE55" s="108" t="s">
        <v>2416</v>
      </c>
      <c r="AF55" s="108">
        <v>1</v>
      </c>
      <c r="AG55" s="108" t="s">
        <v>2299</v>
      </c>
      <c r="AH55" s="144">
        <v>30000</v>
      </c>
      <c r="AI55" s="144">
        <v>20000</v>
      </c>
      <c r="AJ55" s="145"/>
      <c r="AK55" s="108"/>
      <c r="AN55" s="51" t="s">
        <v>2464</v>
      </c>
      <c r="AW55" s="108" t="s">
        <v>2465</v>
      </c>
      <c r="AX55" s="108">
        <v>1</v>
      </c>
      <c r="AY55" s="203" t="str">
        <f>機器表!V3</f>
        <v>台</v>
      </c>
      <c r="AZ55" s="202">
        <f>機器表!W3</f>
        <v>331000</v>
      </c>
      <c r="BA55" s="202">
        <f>機器表!X3</f>
        <v>139730</v>
      </c>
      <c r="BB55" s="204">
        <f>機器表!Y3</f>
        <v>0.52</v>
      </c>
      <c r="BC55" s="108" t="s">
        <v>2280</v>
      </c>
      <c r="BF55" s="108" t="s">
        <v>2320</v>
      </c>
      <c r="BG55" s="108">
        <v>1</v>
      </c>
      <c r="BH55" s="108" t="s">
        <v>2299</v>
      </c>
      <c r="BI55" s="144">
        <v>296000</v>
      </c>
      <c r="BJ55" s="144">
        <v>197000</v>
      </c>
      <c r="BK55" s="145"/>
      <c r="BL55" s="108">
        <v>7.89</v>
      </c>
    </row>
    <row r="56" spans="1:73">
      <c r="A56" s="25" t="s">
        <v>2466</v>
      </c>
      <c r="B56" s="25" t="s">
        <v>2467</v>
      </c>
      <c r="C56" s="25">
        <f t="shared" si="4"/>
        <v>46</v>
      </c>
      <c r="E56" s="146" t="str">
        <f>CONCATENATE("○",機器表!EJ5,"　",機器表!EK5)</f>
        <v xml:space="preserve">○煙突ｾｯﾄ　BEP-3P2252網付 </v>
      </c>
      <c r="F56" s="108">
        <v>1</v>
      </c>
      <c r="G56" s="39" t="str">
        <f>機器表!EL5</f>
        <v>ｾｯﾄ</v>
      </c>
      <c r="H56" s="37">
        <f>機器表!EM5</f>
        <v>72800</v>
      </c>
      <c r="I56" s="37">
        <f>機器表!EN5</f>
        <v>23470</v>
      </c>
      <c r="J56" s="57">
        <f>機器表!EO5</f>
        <v>0.7</v>
      </c>
      <c r="K56" s="108" t="s">
        <v>2280</v>
      </c>
      <c r="L56" s="108"/>
      <c r="N56" s="108" t="s">
        <v>2318</v>
      </c>
      <c r="O56" s="108">
        <v>1</v>
      </c>
      <c r="P56" s="108" t="s">
        <v>1824</v>
      </c>
      <c r="Q56" s="148">
        <v>25000</v>
      </c>
      <c r="R56" s="144">
        <v>14000</v>
      </c>
      <c r="S56" s="145"/>
      <c r="T56" s="108"/>
      <c r="W56" s="108" t="s">
        <v>2331</v>
      </c>
      <c r="X56" s="108">
        <v>1</v>
      </c>
      <c r="Y56" s="108" t="s">
        <v>1824</v>
      </c>
      <c r="Z56" s="148">
        <v>25000</v>
      </c>
      <c r="AA56" s="144">
        <v>14000</v>
      </c>
      <c r="AB56" s="145"/>
      <c r="AC56" s="108"/>
      <c r="AE56" s="108" t="s">
        <v>2320</v>
      </c>
      <c r="AF56" s="108">
        <v>1</v>
      </c>
      <c r="AG56" s="108" t="s">
        <v>2290</v>
      </c>
      <c r="AH56" s="148">
        <f>ROUND(項目表!$E$3*標準項!AK56,-3)</f>
        <v>227000</v>
      </c>
      <c r="AI56" s="148">
        <f>ROUND(項目表!$F$3*標準項!AK56,-3)</f>
        <v>141000</v>
      </c>
      <c r="AJ56" s="145"/>
      <c r="AK56" s="174">
        <v>4.78</v>
      </c>
      <c r="AN56" s="25" t="s">
        <v>2468</v>
      </c>
      <c r="AO56" s="25">
        <v>1</v>
      </c>
      <c r="AP56" s="39" t="str">
        <f>電材表!K39</f>
        <v>台</v>
      </c>
      <c r="AQ56" s="37">
        <f>電材表!L39</f>
        <v>406000</v>
      </c>
      <c r="AR56" s="37">
        <f>電材表!M39</f>
        <v>188780</v>
      </c>
      <c r="AS56" s="57">
        <f>電材表!N39</f>
        <v>0</v>
      </c>
      <c r="AT56" s="25" t="s">
        <v>2295</v>
      </c>
      <c r="AW56" s="108" t="s">
        <v>2289</v>
      </c>
      <c r="AX56" s="108">
        <v>1</v>
      </c>
      <c r="AY56" s="108" t="s">
        <v>2290</v>
      </c>
      <c r="AZ56" s="148">
        <f>ROUND(項目表!$E$3*標準項!BC56,-3)</f>
        <v>25000</v>
      </c>
      <c r="BA56" s="148">
        <f>ROUND(項目表!$F$3*標準項!BC56,-3)</f>
        <v>15000</v>
      </c>
      <c r="BB56" s="145"/>
      <c r="BC56" s="149">
        <v>0.52</v>
      </c>
      <c r="BF56" s="108" t="s">
        <v>2358</v>
      </c>
      <c r="BG56" s="108">
        <v>1</v>
      </c>
      <c r="BH56" s="108" t="s">
        <v>2299</v>
      </c>
      <c r="BI56" s="144">
        <v>8000</v>
      </c>
      <c r="BJ56" s="144">
        <v>5000</v>
      </c>
      <c r="BK56" s="145"/>
      <c r="BL56" s="108">
        <v>0.2</v>
      </c>
      <c r="BO56" s="108"/>
      <c r="BP56" s="108"/>
      <c r="BQ56" s="108"/>
      <c r="BR56" s="144"/>
      <c r="BS56" s="144"/>
      <c r="BT56" s="145"/>
      <c r="BU56" s="108"/>
    </row>
    <row r="57" spans="1:73">
      <c r="A57" s="25" t="s">
        <v>2469</v>
      </c>
      <c r="B57" s="25" t="s">
        <v>2470</v>
      </c>
      <c r="C57" s="25">
        <f t="shared" si="4"/>
        <v>47</v>
      </c>
      <c r="E57" s="146" t="str">
        <f>CONCATENATE("○",機器表!EJ27,"　",機器表!EK27)</f>
        <v>○煙突直管 　φ225</v>
      </c>
      <c r="F57" s="108">
        <v>1</v>
      </c>
      <c r="G57" s="39" t="str">
        <f>機器表!EL27</f>
        <v>本</v>
      </c>
      <c r="H57" s="37">
        <f>機器表!EM27</f>
        <v>12600</v>
      </c>
      <c r="I57" s="37">
        <f>機器表!EN27</f>
        <v>3340</v>
      </c>
      <c r="J57" s="57">
        <f>機器表!EO27</f>
        <v>0.1</v>
      </c>
      <c r="K57" s="108" t="s">
        <v>2280</v>
      </c>
      <c r="L57" s="108"/>
      <c r="N57" s="25" t="s">
        <v>2323</v>
      </c>
      <c r="O57" s="108">
        <v>1</v>
      </c>
      <c r="P57" s="108" t="s">
        <v>2290</v>
      </c>
      <c r="Q57" s="148">
        <f>ROUND(項目表!$E$3*標準項!T57,-3)</f>
        <v>43000</v>
      </c>
      <c r="R57" s="148">
        <f>ROUND(項目表!$F$3*標準項!T57,-3)</f>
        <v>26000</v>
      </c>
      <c r="S57" s="145"/>
      <c r="T57" s="174">
        <v>0.9</v>
      </c>
      <c r="W57" s="25" t="s">
        <v>2323</v>
      </c>
      <c r="X57" s="108">
        <v>1</v>
      </c>
      <c r="Y57" s="108" t="s">
        <v>2290</v>
      </c>
      <c r="Z57" s="148">
        <f>ROUND(項目表!$E$3*標準項!AC57,-3)</f>
        <v>43000</v>
      </c>
      <c r="AA57" s="148">
        <f>ROUND(項目表!$F$3*標準項!AC57,-3)</f>
        <v>26000</v>
      </c>
      <c r="AB57" s="145"/>
      <c r="AC57" s="174">
        <v>0.9</v>
      </c>
      <c r="AE57" s="108" t="s">
        <v>2471</v>
      </c>
      <c r="AF57" s="108">
        <v>1</v>
      </c>
      <c r="AG57" s="108" t="s">
        <v>2299</v>
      </c>
      <c r="AH57" s="144">
        <v>50000</v>
      </c>
      <c r="AI57" s="144">
        <v>30000</v>
      </c>
      <c r="AJ57" s="145"/>
      <c r="AK57" s="108"/>
      <c r="AN57" s="210" t="s">
        <v>2472</v>
      </c>
      <c r="AO57" s="25">
        <v>1</v>
      </c>
      <c r="AP57" s="39" t="s">
        <v>1719</v>
      </c>
      <c r="AQ57" s="37">
        <f>電材表!L41</f>
        <v>57500</v>
      </c>
      <c r="AR57" s="37">
        <f>電材表!M41</f>
        <v>12330</v>
      </c>
      <c r="AS57" s="57">
        <v>0</v>
      </c>
      <c r="AT57" s="25" t="s">
        <v>2295</v>
      </c>
      <c r="AW57" s="39" t="str">
        <f>CONCATENATE("③",電材表!Q18,"　",電材表!R18)</f>
        <v>③感震器　BES-100</v>
      </c>
      <c r="AX57" s="108">
        <v>1</v>
      </c>
      <c r="AY57" s="146" t="str">
        <f>電材表!S18</f>
        <v>個</v>
      </c>
      <c r="AZ57" s="152">
        <f>電材表!T18</f>
        <v>20100</v>
      </c>
      <c r="BA57" s="152">
        <f>電材表!U18</f>
        <v>5580</v>
      </c>
      <c r="BB57" s="151">
        <f>電材表!V18</f>
        <v>0</v>
      </c>
      <c r="BC57" s="25" t="s">
        <v>2296</v>
      </c>
      <c r="BF57" s="108" t="s">
        <v>2364</v>
      </c>
      <c r="BG57" s="108">
        <v>1</v>
      </c>
      <c r="BH57" s="108" t="s">
        <v>2299</v>
      </c>
      <c r="BI57" s="144">
        <v>30000</v>
      </c>
      <c r="BJ57" s="144">
        <v>15000</v>
      </c>
      <c r="BK57" s="145"/>
      <c r="BL57" s="108">
        <v>0.6</v>
      </c>
      <c r="BO57" s="108"/>
      <c r="BP57" s="108"/>
      <c r="BQ57" s="108"/>
      <c r="BR57" s="144"/>
      <c r="BS57" s="144"/>
      <c r="BT57" s="145"/>
      <c r="BU57" s="108"/>
    </row>
    <row r="58" spans="1:73">
      <c r="A58" s="25" t="s">
        <v>2473</v>
      </c>
      <c r="B58" s="25" t="s">
        <v>2474</v>
      </c>
      <c r="C58" s="25">
        <f t="shared" si="4"/>
        <v>48</v>
      </c>
      <c r="E58" s="146" t="str">
        <f>CONCATENATE("○",機器表!EJ39,"　",機器表!EK39)</f>
        <v>○煙道ｴﾙﾎﾞ    　φ225</v>
      </c>
      <c r="F58" s="108">
        <v>3</v>
      </c>
      <c r="G58" s="39" t="str">
        <f>機器表!EL39</f>
        <v>個</v>
      </c>
      <c r="H58" s="37">
        <f>機器表!EM39</f>
        <v>16000</v>
      </c>
      <c r="I58" s="37">
        <f>機器表!EN39</f>
        <v>2820</v>
      </c>
      <c r="J58" s="57">
        <f>機器表!EO39</f>
        <v>0.1</v>
      </c>
      <c r="K58" s="108" t="s">
        <v>2280</v>
      </c>
      <c r="L58" s="108"/>
      <c r="N58" s="108" t="s">
        <v>2343</v>
      </c>
      <c r="O58" s="108">
        <v>1</v>
      </c>
      <c r="P58" s="108" t="s">
        <v>1268</v>
      </c>
      <c r="Q58" s="144">
        <v>35000</v>
      </c>
      <c r="R58" s="144">
        <v>18000</v>
      </c>
      <c r="S58" s="145">
        <v>0.1</v>
      </c>
      <c r="T58" s="108" t="s">
        <v>2280</v>
      </c>
      <c r="W58" s="108" t="s">
        <v>2343</v>
      </c>
      <c r="X58" s="108">
        <v>1</v>
      </c>
      <c r="Y58" s="108" t="s">
        <v>1268</v>
      </c>
      <c r="Z58" s="144">
        <v>35000</v>
      </c>
      <c r="AA58" s="144">
        <v>18000</v>
      </c>
      <c r="AB58" s="145">
        <v>0.1</v>
      </c>
      <c r="AC58" s="108" t="s">
        <v>2280</v>
      </c>
      <c r="AE58" s="108" t="s">
        <v>2475</v>
      </c>
      <c r="AF58" s="108">
        <v>1</v>
      </c>
      <c r="AG58" s="108" t="s">
        <v>2299</v>
      </c>
      <c r="AH58" s="144">
        <v>21000</v>
      </c>
      <c r="AI58" s="144">
        <v>15000</v>
      </c>
      <c r="AJ58" s="145"/>
      <c r="AK58" s="108"/>
      <c r="AN58" s="25" t="s">
        <v>2476</v>
      </c>
      <c r="AO58" s="25">
        <v>1</v>
      </c>
      <c r="AP58" s="25" t="s">
        <v>49</v>
      </c>
      <c r="AQ58" s="28">
        <v>30000</v>
      </c>
      <c r="AR58" s="28">
        <v>15000</v>
      </c>
      <c r="AW58" s="108" t="s">
        <v>2305</v>
      </c>
      <c r="AX58" s="108">
        <v>1</v>
      </c>
      <c r="AY58" s="39" t="str">
        <f>機器表!EL7</f>
        <v>ｾｯﾄ</v>
      </c>
      <c r="AZ58" s="37">
        <f>機器表!EM7</f>
        <v>60400</v>
      </c>
      <c r="BA58" s="37">
        <f>機器表!EN7</f>
        <v>20760</v>
      </c>
      <c r="BB58" s="57">
        <f>機器表!EO7</f>
        <v>0.5</v>
      </c>
      <c r="BC58" s="108" t="s">
        <v>2280</v>
      </c>
      <c r="BF58" s="108" t="s">
        <v>2325</v>
      </c>
      <c r="BG58" s="108">
        <v>1</v>
      </c>
      <c r="BH58" s="108" t="s">
        <v>2299</v>
      </c>
      <c r="BI58" s="144">
        <v>50000</v>
      </c>
      <c r="BJ58" s="144">
        <v>30000</v>
      </c>
      <c r="BK58" s="145">
        <v>0</v>
      </c>
      <c r="BL58" s="108"/>
      <c r="BO58" s="108"/>
      <c r="BP58" s="108"/>
      <c r="BQ58" s="108"/>
      <c r="BR58" s="144"/>
      <c r="BS58" s="144"/>
      <c r="BT58" s="145"/>
      <c r="BU58" s="108"/>
    </row>
    <row r="59" spans="1:73">
      <c r="A59" s="25" t="s">
        <v>2477</v>
      </c>
      <c r="E59" s="108" t="s">
        <v>2318</v>
      </c>
      <c r="F59" s="108">
        <v>1</v>
      </c>
      <c r="G59" s="108" t="s">
        <v>2299</v>
      </c>
      <c r="H59" s="144">
        <v>25000</v>
      </c>
      <c r="I59" s="144">
        <v>16500</v>
      </c>
      <c r="J59" s="145">
        <v>0</v>
      </c>
      <c r="K59" s="108"/>
      <c r="L59" s="108"/>
      <c r="N59" s="108" t="s">
        <v>2411</v>
      </c>
      <c r="O59" s="108">
        <v>1</v>
      </c>
      <c r="P59" s="39" t="str">
        <f>機器表!ET15</f>
        <v>本</v>
      </c>
      <c r="Q59" s="37">
        <f>機器表!EU15</f>
        <v>21600</v>
      </c>
      <c r="R59" s="37">
        <f>機器表!EV15</f>
        <v>10650</v>
      </c>
      <c r="S59" s="57">
        <f>機器表!EW15</f>
        <v>0</v>
      </c>
      <c r="T59" s="108" t="s">
        <v>2280</v>
      </c>
      <c r="W59" s="108" t="s">
        <v>2351</v>
      </c>
      <c r="X59" s="108">
        <v>2</v>
      </c>
      <c r="Y59" s="39" t="str">
        <f>機器表!ET18</f>
        <v>本</v>
      </c>
      <c r="Z59" s="37">
        <f>機器表!EU18</f>
        <v>29800</v>
      </c>
      <c r="AA59" s="37">
        <f>機器表!EV18</f>
        <v>14900</v>
      </c>
      <c r="AB59" s="57">
        <f>機器表!EW18</f>
        <v>0</v>
      </c>
      <c r="AC59" s="108" t="s">
        <v>2280</v>
      </c>
      <c r="AE59" s="108" t="s">
        <v>2478</v>
      </c>
      <c r="AF59" s="108">
        <v>1</v>
      </c>
      <c r="AG59" s="108" t="s">
        <v>2299</v>
      </c>
      <c r="AH59" s="144">
        <v>250000</v>
      </c>
      <c r="AI59" s="144">
        <v>150000</v>
      </c>
      <c r="AJ59" s="145"/>
      <c r="AK59" s="108"/>
      <c r="AN59" s="25" t="s">
        <v>2479</v>
      </c>
      <c r="AO59" s="25">
        <v>1</v>
      </c>
      <c r="AP59" s="25" t="s">
        <v>49</v>
      </c>
      <c r="AQ59" s="28">
        <v>30000</v>
      </c>
      <c r="AR59" s="28">
        <v>15000</v>
      </c>
      <c r="AW59" s="108" t="s">
        <v>2311</v>
      </c>
      <c r="AX59" s="108">
        <v>1</v>
      </c>
      <c r="AY59" s="39" t="str">
        <f>機器表!EL24</f>
        <v>本</v>
      </c>
      <c r="AZ59" s="37">
        <f>機器表!EM24</f>
        <v>8470</v>
      </c>
      <c r="BA59" s="37">
        <f>機器表!EN24</f>
        <v>2090</v>
      </c>
      <c r="BB59" s="57">
        <f>機器表!EO24</f>
        <v>0.1</v>
      </c>
      <c r="BC59" s="108" t="s">
        <v>2280</v>
      </c>
    </row>
    <row r="60" spans="1:73">
      <c r="A60" s="25" t="s">
        <v>2480</v>
      </c>
      <c r="B60" s="25" t="s">
        <v>2481</v>
      </c>
      <c r="C60" s="25">
        <v>49</v>
      </c>
      <c r="E60" s="108" t="s">
        <v>2323</v>
      </c>
      <c r="F60" s="108">
        <v>1</v>
      </c>
      <c r="G60" s="108" t="s">
        <v>2290</v>
      </c>
      <c r="H60" s="148">
        <f>ROUND(項目表!$E$3*標準項!K60,-3)</f>
        <v>52000</v>
      </c>
      <c r="I60" s="148">
        <f>ROUND(項目表!$F$3*標準項!K60,-3)</f>
        <v>32000</v>
      </c>
      <c r="J60" s="145"/>
      <c r="K60" s="157">
        <v>1.1000000000000001</v>
      </c>
      <c r="L60" s="108"/>
      <c r="N60" s="108" t="s">
        <v>2351</v>
      </c>
      <c r="O60" s="108">
        <v>2</v>
      </c>
      <c r="P60" s="39" t="str">
        <f>機器表!ET18</f>
        <v>本</v>
      </c>
      <c r="Q60" s="37">
        <f>機器表!EU18</f>
        <v>29800</v>
      </c>
      <c r="R60" s="37">
        <f>機器表!EV18</f>
        <v>14900</v>
      </c>
      <c r="S60" s="57">
        <f>機器表!EW18</f>
        <v>0</v>
      </c>
      <c r="T60" s="108" t="s">
        <v>2280</v>
      </c>
      <c r="W60" s="243" t="s">
        <v>2355</v>
      </c>
      <c r="X60" s="174">
        <v>2</v>
      </c>
      <c r="Y60" s="126" t="s">
        <v>991</v>
      </c>
      <c r="Z60" s="73">
        <v>6300</v>
      </c>
      <c r="AA60" s="73">
        <v>1000</v>
      </c>
      <c r="AE60" s="108" t="s">
        <v>2388</v>
      </c>
      <c r="AF60" s="108">
        <v>1</v>
      </c>
      <c r="AG60" s="108" t="s">
        <v>2299</v>
      </c>
      <c r="AH60" s="144">
        <v>20000</v>
      </c>
      <c r="AI60" s="144">
        <v>12000</v>
      </c>
      <c r="AJ60" s="145"/>
      <c r="AK60" s="108"/>
      <c r="AN60" s="25" t="s">
        <v>2482</v>
      </c>
      <c r="AO60" s="25">
        <v>3</v>
      </c>
      <c r="AP60" s="25" t="s">
        <v>49</v>
      </c>
      <c r="AQ60" s="28">
        <v>52000</v>
      </c>
      <c r="AR60" s="28">
        <v>65000</v>
      </c>
      <c r="AW60" s="108" t="s">
        <v>2316</v>
      </c>
      <c r="AX60" s="108">
        <v>1</v>
      </c>
      <c r="AY60" s="39" t="str">
        <f>機器表!EL36</f>
        <v>個</v>
      </c>
      <c r="AZ60" s="37">
        <f>機器表!EM36</f>
        <v>6490</v>
      </c>
      <c r="BA60" s="37">
        <f>機器表!EN36</f>
        <v>1360</v>
      </c>
      <c r="BB60" s="57">
        <f>機器表!EO36</f>
        <v>0.1</v>
      </c>
      <c r="BC60" s="108" t="s">
        <v>2280</v>
      </c>
    </row>
    <row r="61" spans="1:73">
      <c r="A61" s="25" t="s">
        <v>2483</v>
      </c>
      <c r="B61" s="25" t="s">
        <v>2484</v>
      </c>
      <c r="C61" s="25">
        <f t="shared" ref="C61:C64" si="5">C60+1</f>
        <v>50</v>
      </c>
      <c r="E61" s="108" t="s">
        <v>2485</v>
      </c>
      <c r="F61" s="108">
        <v>1</v>
      </c>
      <c r="G61" s="108" t="s">
        <v>2299</v>
      </c>
      <c r="H61" s="144">
        <v>35000</v>
      </c>
      <c r="I61" s="144">
        <v>18000</v>
      </c>
      <c r="J61" s="145"/>
      <c r="K61" s="108" t="s">
        <v>2280</v>
      </c>
      <c r="L61" s="108"/>
      <c r="N61" s="108" t="s">
        <v>2360</v>
      </c>
      <c r="O61" s="108">
        <v>12</v>
      </c>
      <c r="P61" s="39" t="str">
        <f>機器表!ET49</f>
        <v>ｾｯﾄ</v>
      </c>
      <c r="Q61" s="37">
        <f>機器表!EU49</f>
        <v>2370</v>
      </c>
      <c r="R61" s="37">
        <f>機器表!EV49</f>
        <v>700</v>
      </c>
      <c r="S61" s="57">
        <f>機器表!EW49</f>
        <v>0</v>
      </c>
      <c r="T61" s="108" t="s">
        <v>2280</v>
      </c>
      <c r="W61" s="234" t="s">
        <v>2415</v>
      </c>
      <c r="X61" s="234">
        <v>1</v>
      </c>
      <c r="Y61" s="224" t="str">
        <f>機器表!EL58</f>
        <v>ｾｯﾄ</v>
      </c>
      <c r="Z61" s="227">
        <f>機器表!EM58</f>
        <v>12400</v>
      </c>
      <c r="AA61" s="227">
        <f>機器表!EN58</f>
        <v>5220</v>
      </c>
      <c r="AB61" s="235">
        <f>機器表!EO58</f>
        <v>0</v>
      </c>
      <c r="AC61" s="234" t="s">
        <v>2280</v>
      </c>
      <c r="AN61" s="25" t="s">
        <v>2486</v>
      </c>
      <c r="AO61" s="25">
        <v>1</v>
      </c>
      <c r="AP61" s="25" t="s">
        <v>77</v>
      </c>
      <c r="AQ61" s="28">
        <v>16000</v>
      </c>
      <c r="AR61" s="28">
        <v>5760</v>
      </c>
      <c r="AW61" s="108" t="s">
        <v>2318</v>
      </c>
      <c r="AX61" s="108">
        <v>1</v>
      </c>
      <c r="AY61" s="108" t="s">
        <v>1824</v>
      </c>
      <c r="AZ61" s="144">
        <v>15000</v>
      </c>
      <c r="BA61" s="144">
        <v>10000</v>
      </c>
      <c r="BB61" s="145">
        <v>0</v>
      </c>
      <c r="BC61" s="108"/>
    </row>
    <row r="62" spans="1:73">
      <c r="A62" s="25" t="s">
        <v>2487</v>
      </c>
      <c r="B62" s="25" t="s">
        <v>2488</v>
      </c>
      <c r="C62" s="25">
        <f t="shared" si="5"/>
        <v>51</v>
      </c>
      <c r="E62" s="146" t="str">
        <f>CONCATENATE("①",管材表!K8,"　",管材表!L8)</f>
        <v>①SGP鋼管(白)　50A</v>
      </c>
      <c r="F62" s="108">
        <v>4</v>
      </c>
      <c r="G62" s="146" t="str">
        <f>管材表!M8</f>
        <v>m</v>
      </c>
      <c r="H62" s="152">
        <f>管材表!N8</f>
        <v>9480</v>
      </c>
      <c r="I62" s="152">
        <f>管材表!O8</f>
        <v>5020</v>
      </c>
      <c r="J62" s="151">
        <f>管材表!P8</f>
        <v>0.28999999999999998</v>
      </c>
      <c r="K62" s="108" t="s">
        <v>2304</v>
      </c>
      <c r="L62" s="108"/>
      <c r="N62" s="234" t="s">
        <v>2489</v>
      </c>
      <c r="O62" s="234">
        <v>1</v>
      </c>
      <c r="P62" s="224" t="str">
        <f>機器表!EL58</f>
        <v>ｾｯﾄ</v>
      </c>
      <c r="Q62" s="227">
        <f>機器表!EM58</f>
        <v>12400</v>
      </c>
      <c r="R62" s="227">
        <f>機器表!EN58</f>
        <v>5220</v>
      </c>
      <c r="S62" s="235">
        <f>機器表!EO58</f>
        <v>0</v>
      </c>
      <c r="T62" s="234" t="s">
        <v>2280</v>
      </c>
      <c r="W62" s="108" t="s">
        <v>2325</v>
      </c>
      <c r="X62" s="108">
        <v>1</v>
      </c>
      <c r="Y62" s="108" t="s">
        <v>2299</v>
      </c>
      <c r="Z62" s="144">
        <v>20000</v>
      </c>
      <c r="AA62" s="144">
        <v>10000</v>
      </c>
      <c r="AB62" s="145"/>
      <c r="AC62" s="108"/>
      <c r="AN62" s="25" t="s">
        <v>2490</v>
      </c>
      <c r="AO62" s="25">
        <v>1</v>
      </c>
      <c r="AP62" s="25" t="s">
        <v>49</v>
      </c>
      <c r="AQ62" s="28">
        <v>52000</v>
      </c>
      <c r="AR62" s="28">
        <v>65000</v>
      </c>
      <c r="AW62" s="108" t="s">
        <v>2327</v>
      </c>
      <c r="AX62" s="108">
        <v>1</v>
      </c>
      <c r="AY62" s="108" t="s">
        <v>2299</v>
      </c>
      <c r="AZ62" s="148">
        <f>ROUND(項目表!$E$3*BC62,-3)</f>
        <v>36000</v>
      </c>
      <c r="BA62" s="148">
        <f>ROUND(項目表!$F$3*標準項!BC62,-3)</f>
        <v>22000</v>
      </c>
      <c r="BB62" s="145"/>
      <c r="BC62" s="157">
        <v>0.75</v>
      </c>
      <c r="BF62" s="143" t="s">
        <v>2491</v>
      </c>
      <c r="BG62" s="108"/>
      <c r="BH62" s="108"/>
      <c r="BI62" s="144"/>
      <c r="BJ62" s="144"/>
      <c r="BK62" s="145"/>
      <c r="BL62" s="108"/>
    </row>
    <row r="63" spans="1:73">
      <c r="A63" s="25" t="s">
        <v>2492</v>
      </c>
      <c r="B63" s="25" t="s">
        <v>2493</v>
      </c>
      <c r="C63" s="25">
        <f t="shared" si="5"/>
        <v>52</v>
      </c>
      <c r="E63" s="146" t="str">
        <f>CONCATENATE("①",管材表!K7,"　",管材表!L7)</f>
        <v>①SGP鋼管(白)　40A</v>
      </c>
      <c r="F63" s="108">
        <v>4</v>
      </c>
      <c r="G63" s="146" t="str">
        <f>管材表!M7</f>
        <v>m</v>
      </c>
      <c r="H63" s="152">
        <f>管材表!N7</f>
        <v>6910</v>
      </c>
      <c r="I63" s="152">
        <f>管材表!O7</f>
        <v>3660</v>
      </c>
      <c r="J63" s="151">
        <f>管材表!P7</f>
        <v>0.23</v>
      </c>
      <c r="K63" s="108" t="s">
        <v>2304</v>
      </c>
      <c r="L63" s="108"/>
      <c r="N63" s="108" t="s">
        <v>2325</v>
      </c>
      <c r="O63" s="108">
        <v>1</v>
      </c>
      <c r="P63" s="108" t="s">
        <v>2299</v>
      </c>
      <c r="Q63" s="144">
        <v>20000</v>
      </c>
      <c r="R63" s="144">
        <v>10000</v>
      </c>
      <c r="S63" s="145"/>
      <c r="T63" s="108"/>
      <c r="AN63" s="25" t="s">
        <v>2362</v>
      </c>
      <c r="AO63" s="25">
        <v>1</v>
      </c>
      <c r="AP63" s="25" t="s">
        <v>49</v>
      </c>
      <c r="AQ63" s="28">
        <v>15000</v>
      </c>
      <c r="AR63" s="28">
        <v>10000</v>
      </c>
      <c r="AW63" s="108" t="s">
        <v>2334</v>
      </c>
      <c r="AX63" s="108">
        <v>1</v>
      </c>
      <c r="AY63" s="108" t="s">
        <v>2299</v>
      </c>
      <c r="AZ63" s="144">
        <v>15000</v>
      </c>
      <c r="BA63" s="144">
        <v>10000</v>
      </c>
      <c r="BB63" s="145">
        <v>0</v>
      </c>
      <c r="BC63" s="108"/>
      <c r="BF63" s="146" t="str">
        <f>CONCATENATE("①",管材表!AQ9,"　",管材表!AR9)</f>
        <v>①塩ﾋﾞ管　VP φ50</v>
      </c>
      <c r="BG63" s="108">
        <v>60</v>
      </c>
      <c r="BH63" s="146" t="str">
        <f>管材表!AS9</f>
        <v>m</v>
      </c>
      <c r="BI63" s="152">
        <f>管材表!AT9</f>
        <v>1460</v>
      </c>
      <c r="BJ63" s="152">
        <f>管材表!AU9</f>
        <v>950</v>
      </c>
      <c r="BK63" s="151">
        <f>管材表!AV9</f>
        <v>0.15</v>
      </c>
      <c r="BL63" s="108" t="s">
        <v>2304</v>
      </c>
    </row>
    <row r="64" spans="1:73">
      <c r="A64" s="25" t="s">
        <v>2494</v>
      </c>
      <c r="B64" s="25" t="s">
        <v>2495</v>
      </c>
      <c r="C64" s="25">
        <f t="shared" si="5"/>
        <v>53</v>
      </c>
      <c r="E64" s="146" t="str">
        <f>CONCATENATE("①",管材表!K5,"　",管材表!L5)</f>
        <v>①SGP鋼管(白)　25A</v>
      </c>
      <c r="F64" s="108">
        <v>4</v>
      </c>
      <c r="G64" s="146" t="str">
        <f>管材表!M5</f>
        <v>m</v>
      </c>
      <c r="H64" s="152">
        <f>管材表!N5</f>
        <v>4540</v>
      </c>
      <c r="I64" s="152">
        <f>管材表!O5</f>
        <v>2400</v>
      </c>
      <c r="J64" s="151">
        <f>管材表!P5</f>
        <v>0.17</v>
      </c>
      <c r="K64" s="108" t="s">
        <v>2342</v>
      </c>
      <c r="L64" s="108"/>
      <c r="AE64" s="191" t="s">
        <v>2496</v>
      </c>
      <c r="AW64" s="108" t="s">
        <v>2497</v>
      </c>
      <c r="AX64" s="108">
        <v>1</v>
      </c>
      <c r="AY64" s="39" t="str">
        <f>機器表!ET12</f>
        <v>本</v>
      </c>
      <c r="AZ64" s="37">
        <f>機器表!EU12</f>
        <v>22800</v>
      </c>
      <c r="BA64" s="37">
        <f>機器表!EV12</f>
        <v>11350</v>
      </c>
      <c r="BB64" s="57">
        <f>機器表!EW12</f>
        <v>0</v>
      </c>
      <c r="BC64" s="108" t="s">
        <v>2280</v>
      </c>
      <c r="BF64" s="146" t="str">
        <f>CONCATENATE("①",管材表!AQ5,"　",管材表!AR5)</f>
        <v>①塩ﾋﾞ管　VP φ20</v>
      </c>
      <c r="BG64" s="108">
        <v>16</v>
      </c>
      <c r="BH64" s="146" t="str">
        <f>管材表!AS5</f>
        <v>m</v>
      </c>
      <c r="BI64" s="152">
        <f>管材表!AT5</f>
        <v>420</v>
      </c>
      <c r="BJ64" s="152">
        <f>管材表!AU5</f>
        <v>270</v>
      </c>
      <c r="BK64" s="151">
        <f>管材表!AV5</f>
        <v>7.0000000000000007E-2</v>
      </c>
      <c r="BL64" s="108" t="s">
        <v>2304</v>
      </c>
    </row>
    <row r="65" spans="1:64">
      <c r="A65" s="25" t="s">
        <v>2498</v>
      </c>
      <c r="E65" s="146" t="str">
        <f>CONCATENATE("①",管材表!K3,"　",管材表!L3)</f>
        <v>①SGP鋼管(白)　15A</v>
      </c>
      <c r="F65" s="108">
        <v>4</v>
      </c>
      <c r="G65" s="146" t="str">
        <f>管材表!M3</f>
        <v>m</v>
      </c>
      <c r="H65" s="152">
        <f>管材表!N3</f>
        <v>2650</v>
      </c>
      <c r="I65" s="152">
        <f>管材表!O3</f>
        <v>1410</v>
      </c>
      <c r="J65" s="151">
        <f>管材表!P3</f>
        <v>0.12</v>
      </c>
      <c r="K65" s="108" t="s">
        <v>2304</v>
      </c>
      <c r="AE65" s="108" t="s">
        <v>2499</v>
      </c>
      <c r="AF65" s="108">
        <v>1</v>
      </c>
      <c r="AG65" s="108" t="s">
        <v>2345</v>
      </c>
      <c r="AH65" s="144">
        <v>1920000</v>
      </c>
      <c r="AI65" s="144">
        <v>1200000</v>
      </c>
      <c r="AJ65" s="145" t="e">
        <f>機器表!#REF!</f>
        <v>#REF!</v>
      </c>
      <c r="AK65" s="108" t="s">
        <v>2280</v>
      </c>
      <c r="AW65" s="108" t="s">
        <v>2500</v>
      </c>
      <c r="AX65" s="108">
        <v>1</v>
      </c>
      <c r="AY65" s="39" t="str">
        <f>機器表!ET55</f>
        <v>ｾｯﾄ</v>
      </c>
      <c r="AZ65" s="37">
        <f>機器表!EU55</f>
        <v>26200</v>
      </c>
      <c r="BA65" s="37">
        <f>機器表!EV55</f>
        <v>6990</v>
      </c>
      <c r="BB65" s="57">
        <f>機器表!EW55</f>
        <v>0</v>
      </c>
      <c r="BC65" s="108" t="s">
        <v>2280</v>
      </c>
      <c r="BF65" s="108" t="s">
        <v>2501</v>
      </c>
      <c r="BG65" s="108">
        <v>8</v>
      </c>
      <c r="BH65" s="108" t="s">
        <v>2502</v>
      </c>
      <c r="BI65" s="144">
        <v>34800</v>
      </c>
      <c r="BJ65" s="144">
        <v>25060</v>
      </c>
      <c r="BK65" s="145">
        <v>8.4</v>
      </c>
      <c r="BL65" s="108" t="s">
        <v>2304</v>
      </c>
    </row>
    <row r="66" spans="1:64">
      <c r="A66" s="25" t="s">
        <v>2503</v>
      </c>
      <c r="B66" s="25" t="s">
        <v>2504</v>
      </c>
      <c r="C66" s="25">
        <v>54</v>
      </c>
      <c r="E66" s="146" t="str">
        <f>CONCATENATE("①",管材表!BG8,"　",管材表!BH8)</f>
        <v>①ｹﾞｰﾄ弁　50A</v>
      </c>
      <c r="F66" s="108">
        <v>2</v>
      </c>
      <c r="G66" s="146" t="str">
        <f>管材表!BI8</f>
        <v>個</v>
      </c>
      <c r="H66" s="152">
        <f>管材表!BJ8</f>
        <v>39100</v>
      </c>
      <c r="I66" s="152">
        <f>管材表!BK8</f>
        <v>25420</v>
      </c>
      <c r="J66" s="151">
        <f>管材表!BL8</f>
        <v>0.18</v>
      </c>
      <c r="K66" s="108" t="s">
        <v>2304</v>
      </c>
      <c r="L66" s="108"/>
      <c r="AE66" s="108" t="s">
        <v>2289</v>
      </c>
      <c r="AF66" s="108">
        <v>1</v>
      </c>
      <c r="AG66" s="108" t="s">
        <v>2290</v>
      </c>
      <c r="AH66" s="148" t="e">
        <f>ROUND(項目表!$E$3*標準項!AK66,-3)</f>
        <v>#REF!</v>
      </c>
      <c r="AI66" s="148" t="e">
        <f>ROUND(項目表!$F$3*標準項!AK66,-3)</f>
        <v>#REF!</v>
      </c>
      <c r="AJ66" s="145"/>
      <c r="AK66" s="154" t="e">
        <f>AJ65</f>
        <v>#REF!</v>
      </c>
      <c r="AN66" s="51" t="s">
        <v>2505</v>
      </c>
      <c r="AW66" s="108" t="s">
        <v>2325</v>
      </c>
      <c r="AX66" s="108">
        <v>1</v>
      </c>
      <c r="AY66" s="108" t="s">
        <v>2299</v>
      </c>
      <c r="AZ66" s="73">
        <v>15000</v>
      </c>
      <c r="BA66" s="73">
        <v>7500</v>
      </c>
      <c r="BB66" s="145">
        <v>0</v>
      </c>
      <c r="BC66" s="108"/>
      <c r="BF66" s="108" t="s">
        <v>2506</v>
      </c>
      <c r="BG66" s="108">
        <v>64</v>
      </c>
      <c r="BH66" s="108" t="s">
        <v>1824</v>
      </c>
      <c r="BI66" s="144">
        <v>1820</v>
      </c>
      <c r="BJ66" s="144">
        <v>1310</v>
      </c>
      <c r="BK66" s="145">
        <v>0.09</v>
      </c>
      <c r="BL66" s="108" t="s">
        <v>2304</v>
      </c>
    </row>
    <row r="67" spans="1:64">
      <c r="A67" s="25" t="s">
        <v>2507</v>
      </c>
      <c r="B67" s="25" t="s">
        <v>2508</v>
      </c>
      <c r="C67" s="25">
        <f t="shared" ref="C67:C69" si="6">C66+1</f>
        <v>55</v>
      </c>
      <c r="E67" s="146" t="str">
        <f>CONCATENATE("①",管材表!BG7,"　",管材表!BH7)</f>
        <v>①ｹﾞｰﾄ弁　40A</v>
      </c>
      <c r="F67" s="108">
        <v>1</v>
      </c>
      <c r="G67" s="146" t="str">
        <f>管材表!BI7</f>
        <v>個</v>
      </c>
      <c r="H67" s="152">
        <f>管材表!BJ7</f>
        <v>26700</v>
      </c>
      <c r="I67" s="152">
        <f>管材表!BK7</f>
        <v>17360</v>
      </c>
      <c r="J67" s="151">
        <f>管材表!BL7</f>
        <v>0.16</v>
      </c>
      <c r="K67" s="108" t="s">
        <v>2304</v>
      </c>
      <c r="L67" s="108"/>
      <c r="AE67" s="108" t="s">
        <v>2509</v>
      </c>
      <c r="AF67" s="108">
        <v>1</v>
      </c>
      <c r="AG67" s="108" t="s">
        <v>2299</v>
      </c>
      <c r="AH67" s="144">
        <v>650000</v>
      </c>
      <c r="AI67" s="144">
        <v>450000</v>
      </c>
      <c r="AJ67" s="145"/>
      <c r="AK67" s="108"/>
      <c r="AN67" s="25" t="s">
        <v>2468</v>
      </c>
      <c r="AO67" s="25">
        <v>1</v>
      </c>
      <c r="AP67" s="39" t="str">
        <f>電材表!K39</f>
        <v>台</v>
      </c>
      <c r="AQ67" s="37">
        <f>電材表!L39</f>
        <v>406000</v>
      </c>
      <c r="AR67" s="37">
        <f>電材表!M39</f>
        <v>188780</v>
      </c>
      <c r="AS67" s="57">
        <f>電材表!N39</f>
        <v>0</v>
      </c>
      <c r="AT67" s="25" t="s">
        <v>2295</v>
      </c>
      <c r="BF67" s="108" t="s">
        <v>2510</v>
      </c>
      <c r="BG67" s="108">
        <v>1</v>
      </c>
      <c r="BH67" s="108" t="s">
        <v>2299</v>
      </c>
      <c r="BI67" s="144">
        <v>120000</v>
      </c>
      <c r="BJ67" s="144">
        <v>80000</v>
      </c>
      <c r="BK67" s="145"/>
      <c r="BL67" s="108">
        <v>3.2</v>
      </c>
    </row>
    <row r="68" spans="1:64">
      <c r="A68" s="25" t="s">
        <v>2511</v>
      </c>
      <c r="B68" s="25" t="s">
        <v>2512</v>
      </c>
      <c r="C68" s="25">
        <f t="shared" si="6"/>
        <v>56</v>
      </c>
      <c r="E68" s="146" t="str">
        <f>CONCATENATE("①",管材表!BG3,"　",管材表!BH3)</f>
        <v>①ｹﾞｰﾄ弁　15A</v>
      </c>
      <c r="F68" s="108">
        <v>1</v>
      </c>
      <c r="G68" s="146" t="str">
        <f>管材表!BI3</f>
        <v>個</v>
      </c>
      <c r="H68" s="152">
        <f>管材表!BJ3</f>
        <v>6510</v>
      </c>
      <c r="I68" s="152">
        <f>管材表!BK3</f>
        <v>4230</v>
      </c>
      <c r="J68" s="151">
        <f>管材表!BL3</f>
        <v>0.08</v>
      </c>
      <c r="K68" s="108" t="s">
        <v>2304</v>
      </c>
      <c r="L68" s="108"/>
      <c r="AE68" s="108" t="s">
        <v>2460</v>
      </c>
      <c r="AF68" s="108">
        <v>1</v>
      </c>
      <c r="AG68" s="108" t="s">
        <v>1824</v>
      </c>
      <c r="AH68" s="144">
        <v>15000</v>
      </c>
      <c r="AI68" s="144">
        <v>10000</v>
      </c>
      <c r="AJ68" s="145"/>
      <c r="AK68" s="108" t="s">
        <v>2304</v>
      </c>
      <c r="AN68" s="25" t="s">
        <v>2513</v>
      </c>
      <c r="AO68" s="25">
        <v>1</v>
      </c>
      <c r="AP68" s="39" t="str">
        <f>電材表!K40</f>
        <v>台</v>
      </c>
      <c r="AQ68" s="37">
        <f>電材表!L40</f>
        <v>134000</v>
      </c>
      <c r="AR68" s="37">
        <f>電材表!M40</f>
        <v>71530</v>
      </c>
      <c r="AS68" s="57">
        <f>電材表!N40</f>
        <v>0</v>
      </c>
      <c r="AT68" s="25" t="s">
        <v>2295</v>
      </c>
      <c r="BF68" s="146" t="str">
        <f>CONCATENATE("①",管材表!BG8,"　",管材表!BH8)</f>
        <v>①ｹﾞｰﾄ弁　50A</v>
      </c>
      <c r="BG68" s="108">
        <v>2</v>
      </c>
      <c r="BH68" s="146" t="str">
        <f>管材表!BI8</f>
        <v>個</v>
      </c>
      <c r="BI68" s="152">
        <f>管材表!BJ8</f>
        <v>39100</v>
      </c>
      <c r="BJ68" s="152">
        <f>管材表!BK8</f>
        <v>25420</v>
      </c>
      <c r="BK68" s="151">
        <f>管材表!BL8</f>
        <v>0.18</v>
      </c>
      <c r="BL68" s="108" t="s">
        <v>2304</v>
      </c>
    </row>
    <row r="69" spans="1:64">
      <c r="A69" s="25" t="s">
        <v>2514</v>
      </c>
      <c r="B69" s="25" t="s">
        <v>2515</v>
      </c>
      <c r="C69" s="25">
        <f t="shared" si="6"/>
        <v>57</v>
      </c>
      <c r="E69" s="39" t="str">
        <f>CONCATENATE("①",管材表!BO10,"　",管材表!BP10)</f>
        <v xml:space="preserve">①ﾁｬｯｷ弁　50A(ｳｴﾊ)       </v>
      </c>
      <c r="F69" s="25">
        <v>1</v>
      </c>
      <c r="G69" s="39" t="str">
        <f>管材表!BQ10</f>
        <v>個</v>
      </c>
      <c r="H69" s="37">
        <f>管材表!BR10</f>
        <v>95300</v>
      </c>
      <c r="I69" s="37">
        <f>管材表!BS10</f>
        <v>61950</v>
      </c>
      <c r="J69" s="57">
        <f>管材表!BT10</f>
        <v>0.18</v>
      </c>
      <c r="K69" s="25" t="s">
        <v>2304</v>
      </c>
      <c r="L69" s="108"/>
      <c r="N69" s="51" t="s">
        <v>761</v>
      </c>
      <c r="W69" s="51" t="s">
        <v>793</v>
      </c>
      <c r="AE69" s="108" t="s">
        <v>2516</v>
      </c>
      <c r="AF69" s="108">
        <v>1</v>
      </c>
      <c r="AG69" s="108" t="s">
        <v>1824</v>
      </c>
      <c r="AH69" s="144">
        <v>127000</v>
      </c>
      <c r="AI69" s="144">
        <v>100000</v>
      </c>
      <c r="AJ69" s="145"/>
      <c r="AK69" s="108" t="s">
        <v>2304</v>
      </c>
      <c r="AN69" s="25" t="s">
        <v>2517</v>
      </c>
      <c r="AO69" s="25">
        <v>1</v>
      </c>
      <c r="AP69" s="39" t="str">
        <f>電材表!K8</f>
        <v>個</v>
      </c>
      <c r="AQ69" s="37">
        <f>電材表!L8</f>
        <v>56500</v>
      </c>
      <c r="AR69" s="37">
        <f>電材表!M8</f>
        <v>18370</v>
      </c>
      <c r="AS69" s="57">
        <f>電材表!N8</f>
        <v>0</v>
      </c>
      <c r="AT69" s="25" t="s">
        <v>2295</v>
      </c>
      <c r="AW69" s="51" t="s">
        <v>319</v>
      </c>
      <c r="BF69" s="146" t="str">
        <f>CONCATENATE("①",管材表!BG3,"　",管材表!BH3)</f>
        <v>①ｹﾞｰﾄ弁　15A</v>
      </c>
      <c r="BG69" s="108">
        <v>2</v>
      </c>
      <c r="BH69" s="146" t="str">
        <f>管材表!BI3</f>
        <v>個</v>
      </c>
      <c r="BI69" s="152">
        <f>管材表!BJ3</f>
        <v>6510</v>
      </c>
      <c r="BJ69" s="152">
        <f>管材表!BK3</f>
        <v>4230</v>
      </c>
      <c r="BK69" s="151">
        <f>管材表!BL3</f>
        <v>0.08</v>
      </c>
      <c r="BL69" s="108" t="s">
        <v>2304</v>
      </c>
    </row>
    <row r="70" spans="1:64">
      <c r="E70" s="146" t="str">
        <f>CONCATENATE("①",管材表!DC3,"　",管材表!DD3)</f>
        <v>①Yｽﾄﾚｰﾅ　15A</v>
      </c>
      <c r="F70" s="108">
        <v>1</v>
      </c>
      <c r="G70" s="146" t="str">
        <f>管材表!DE3</f>
        <v>個</v>
      </c>
      <c r="H70" s="152">
        <f>管材表!DF3</f>
        <v>6080</v>
      </c>
      <c r="I70" s="152">
        <f>管材表!DG3</f>
        <v>3950</v>
      </c>
      <c r="J70" s="151">
        <f>管材表!DH3</f>
        <v>0.08</v>
      </c>
      <c r="K70" s="108" t="s">
        <v>2304</v>
      </c>
      <c r="N70" s="234" t="s">
        <v>2518</v>
      </c>
      <c r="O70" s="108">
        <v>1</v>
      </c>
      <c r="P70" s="147" t="str">
        <f>機器表!N16</f>
        <v>台</v>
      </c>
      <c r="Q70" s="36">
        <f>機器表!O16</f>
        <v>1620000</v>
      </c>
      <c r="R70" s="36">
        <f>機器表!P16</f>
        <v>701210</v>
      </c>
      <c r="S70" s="56">
        <f>機器表!Q16</f>
        <v>2</v>
      </c>
      <c r="T70" s="108" t="s">
        <v>2280</v>
      </c>
      <c r="W70" s="234" t="s">
        <v>2519</v>
      </c>
      <c r="X70" s="108">
        <v>1</v>
      </c>
      <c r="Y70" s="203" t="str">
        <f>機器表!N17</f>
        <v>台</v>
      </c>
      <c r="Z70" s="202">
        <f>機器表!O17</f>
        <v>1680000</v>
      </c>
      <c r="AA70" s="202">
        <f>機器表!P17</f>
        <v>752540</v>
      </c>
      <c r="AB70" s="204">
        <f>機器表!Q17</f>
        <v>2</v>
      </c>
      <c r="AC70" s="108" t="s">
        <v>2280</v>
      </c>
      <c r="AE70" s="146" t="str">
        <f>CONCATENATE("①",管材表!K7,"　",管材表!L7)</f>
        <v>①SGP鋼管(白)　40A</v>
      </c>
      <c r="AF70" s="108">
        <v>20</v>
      </c>
      <c r="AG70" s="146" t="str">
        <f>管材表!M7</f>
        <v>m</v>
      </c>
      <c r="AH70" s="152">
        <f>管材表!N7</f>
        <v>6910</v>
      </c>
      <c r="AI70" s="152">
        <f>管材表!O7</f>
        <v>3660</v>
      </c>
      <c r="AJ70" s="151">
        <f>管材表!P7</f>
        <v>0.23</v>
      </c>
      <c r="AK70" s="108" t="s">
        <v>2304</v>
      </c>
      <c r="AN70" s="126" t="s">
        <v>2520</v>
      </c>
      <c r="AO70" s="126">
        <v>1</v>
      </c>
      <c r="AP70" s="126" t="s">
        <v>947</v>
      </c>
      <c r="AQ70" s="73">
        <f>電材表!L10</f>
        <v>27300</v>
      </c>
      <c r="AR70" s="73">
        <f>電材表!M10</f>
        <v>11300</v>
      </c>
      <c r="AS70" s="173">
        <f>電材表!N10</f>
        <v>0</v>
      </c>
      <c r="AT70" s="25" t="s">
        <v>2295</v>
      </c>
      <c r="AW70" s="108" t="s">
        <v>2521</v>
      </c>
      <c r="AX70" s="108">
        <v>1</v>
      </c>
      <c r="AY70" s="203" t="str">
        <f>機器表!V4</f>
        <v>台</v>
      </c>
      <c r="AZ70" s="202">
        <f>機器表!W4</f>
        <v>400000</v>
      </c>
      <c r="BA70" s="202">
        <f>機器表!X4</f>
        <v>143600</v>
      </c>
      <c r="BB70" s="204">
        <f>機器表!Y4</f>
        <v>0.7</v>
      </c>
      <c r="BC70" s="108" t="s">
        <v>2280</v>
      </c>
      <c r="BF70" s="108" t="s">
        <v>2347</v>
      </c>
      <c r="BG70" s="108">
        <v>1</v>
      </c>
      <c r="BH70" s="108" t="s">
        <v>2299</v>
      </c>
      <c r="BI70" s="144">
        <v>35000</v>
      </c>
      <c r="BJ70" s="144">
        <v>25000</v>
      </c>
      <c r="BK70" s="145">
        <v>0</v>
      </c>
      <c r="BL70" s="108"/>
    </row>
    <row r="71" spans="1:64">
      <c r="E71" s="186" t="s">
        <v>2430</v>
      </c>
      <c r="F71" s="186">
        <v>1</v>
      </c>
      <c r="G71" s="186" t="s">
        <v>991</v>
      </c>
      <c r="H71" s="184">
        <f>管材表!FB9</f>
        <v>15500</v>
      </c>
      <c r="I71" s="184">
        <f>管材表!FC9</f>
        <v>2920</v>
      </c>
      <c r="J71" s="189">
        <v>0.1</v>
      </c>
      <c r="K71" s="186" t="s">
        <v>2342</v>
      </c>
      <c r="N71" s="108" t="s">
        <v>2289</v>
      </c>
      <c r="O71" s="108">
        <v>1</v>
      </c>
      <c r="P71" s="108" t="s">
        <v>2290</v>
      </c>
      <c r="Q71" s="148">
        <f>ROUND(項目表!$E$3*標準項!T71,-3)</f>
        <v>87000</v>
      </c>
      <c r="R71" s="148">
        <f>ROUND(項目表!$F$3*標準項!T71,-3)</f>
        <v>54000</v>
      </c>
      <c r="S71" s="145"/>
      <c r="T71" s="149">
        <v>1.84</v>
      </c>
      <c r="W71" s="108" t="s">
        <v>2289</v>
      </c>
      <c r="X71" s="108">
        <v>1</v>
      </c>
      <c r="Y71" s="108" t="s">
        <v>2290</v>
      </c>
      <c r="Z71" s="148">
        <f>ROUND(項目表!$E$3*標準項!AC71,-3)</f>
        <v>87000</v>
      </c>
      <c r="AA71" s="148">
        <f>ROUND(項目表!$F$3*標準項!AC71,-3)</f>
        <v>54000</v>
      </c>
      <c r="AB71" s="145"/>
      <c r="AC71" s="149">
        <v>1.84</v>
      </c>
      <c r="AE71" s="146" t="str">
        <f>CONCATENATE("①",管材表!K6,"　",管材表!L6)</f>
        <v>①SGP鋼管(白)　32A</v>
      </c>
      <c r="AF71" s="108">
        <v>20</v>
      </c>
      <c r="AG71" s="146" t="str">
        <f>管材表!M6</f>
        <v>m</v>
      </c>
      <c r="AH71" s="152">
        <f>管材表!N6</f>
        <v>6020</v>
      </c>
      <c r="AI71" s="152">
        <f>管材表!O6</f>
        <v>3190</v>
      </c>
      <c r="AJ71" s="151">
        <f>管材表!P6</f>
        <v>0.21</v>
      </c>
      <c r="AK71" s="108" t="s">
        <v>2304</v>
      </c>
      <c r="AN71" s="39" t="str">
        <f>CONCATENATE("○",電材表!I11,"　",電材表!J11)</f>
        <v>○CO2ｾﾝｻｰ　CGS-14</v>
      </c>
      <c r="AO71" s="25">
        <v>1</v>
      </c>
      <c r="AP71" s="39" t="str">
        <f>電材表!K11</f>
        <v>個</v>
      </c>
      <c r="AQ71" s="37">
        <f>電材表!L11</f>
        <v>66800</v>
      </c>
      <c r="AR71" s="37">
        <f>電材表!M11</f>
        <v>27430</v>
      </c>
      <c r="AS71" s="153">
        <f>電材表!N11</f>
        <v>0</v>
      </c>
      <c r="AT71" s="25" t="s">
        <v>2295</v>
      </c>
      <c r="AW71" s="108" t="s">
        <v>2289</v>
      </c>
      <c r="AX71" s="108">
        <v>1</v>
      </c>
      <c r="AY71" s="108" t="s">
        <v>2290</v>
      </c>
      <c r="AZ71" s="148">
        <f>ROUND(項目表!$E$3*標準項!BC71,-3)</f>
        <v>33000</v>
      </c>
      <c r="BA71" s="148">
        <f>ROUND(項目表!$F$3*標準項!BC71,-3)</f>
        <v>21000</v>
      </c>
      <c r="BB71" s="145"/>
      <c r="BC71" s="149">
        <v>0.7</v>
      </c>
      <c r="BF71" s="108" t="s">
        <v>2320</v>
      </c>
      <c r="BG71" s="108">
        <v>1</v>
      </c>
      <c r="BH71" s="108" t="s">
        <v>2299</v>
      </c>
      <c r="BI71" s="144">
        <v>301200</v>
      </c>
      <c r="BJ71" s="144">
        <v>200800</v>
      </c>
      <c r="BK71" s="145"/>
      <c r="BL71" s="108">
        <v>8.0299999999999994</v>
      </c>
    </row>
    <row r="72" spans="1:64">
      <c r="E72" s="108" t="s">
        <v>2371</v>
      </c>
      <c r="F72" s="108">
        <v>1</v>
      </c>
      <c r="G72" s="108" t="s">
        <v>2299</v>
      </c>
      <c r="H72" s="144">
        <v>7000</v>
      </c>
      <c r="I72" s="144">
        <v>4000</v>
      </c>
      <c r="J72" s="145">
        <v>0</v>
      </c>
      <c r="K72" s="108"/>
      <c r="N72" s="39" t="str">
        <f>CONCATENATE("③",電材表!Q18,"　",電材表!R18)</f>
        <v>③感震器　BES-100</v>
      </c>
      <c r="O72" s="108">
        <v>1</v>
      </c>
      <c r="P72" s="146" t="str">
        <f>電材表!S18</f>
        <v>個</v>
      </c>
      <c r="Q72" s="37">
        <f>電材表!T18</f>
        <v>20100</v>
      </c>
      <c r="R72" s="37">
        <f>電材表!U18</f>
        <v>5580</v>
      </c>
      <c r="S72" s="57">
        <f>電材表!V19</f>
        <v>0</v>
      </c>
      <c r="T72" s="25" t="s">
        <v>2296</v>
      </c>
      <c r="W72" s="39" t="str">
        <f>CONCATENATE("③",電材表!Q18,"　",電材表!R18)</f>
        <v>③感震器　BES-100</v>
      </c>
      <c r="X72" s="108">
        <v>1</v>
      </c>
      <c r="Y72" s="146" t="str">
        <f>電材表!S18</f>
        <v>個</v>
      </c>
      <c r="Z72" s="37">
        <f>電材表!T18</f>
        <v>20100</v>
      </c>
      <c r="AA72" s="37">
        <f>電材表!U18</f>
        <v>5580</v>
      </c>
      <c r="AB72" s="57">
        <f>電材表!V18</f>
        <v>0</v>
      </c>
      <c r="AC72" s="25" t="s">
        <v>2296</v>
      </c>
      <c r="AE72" s="146" t="str">
        <f>CONCATENATE("①",管材表!K5,"　",管材表!L5)</f>
        <v>①SGP鋼管(白)　25A</v>
      </c>
      <c r="AF72" s="108">
        <v>20</v>
      </c>
      <c r="AG72" s="146" t="str">
        <f>管材表!M5</f>
        <v>m</v>
      </c>
      <c r="AH72" s="152">
        <f>管材表!N5</f>
        <v>4540</v>
      </c>
      <c r="AI72" s="152">
        <f>管材表!O5</f>
        <v>2400</v>
      </c>
      <c r="AJ72" s="151">
        <f>管材表!P5</f>
        <v>0.17</v>
      </c>
      <c r="AK72" s="108" t="s">
        <v>2304</v>
      </c>
      <c r="AN72" s="25" t="s">
        <v>2522</v>
      </c>
      <c r="AO72" s="25">
        <v>1</v>
      </c>
      <c r="AP72" s="58" t="str">
        <f>電材表!K12</f>
        <v>個</v>
      </c>
      <c r="AQ72" s="59">
        <f>電材表!L12</f>
        <v>26000</v>
      </c>
      <c r="AR72" s="59">
        <f>電材表!M12</f>
        <v>11070</v>
      </c>
      <c r="AS72" s="60">
        <f>電材表!N12</f>
        <v>0</v>
      </c>
      <c r="AT72" s="25" t="s">
        <v>2295</v>
      </c>
      <c r="AW72" s="39" t="str">
        <f>CONCATENATE("③",電材表!Q18,"　",電材表!R18)</f>
        <v>③感震器　BES-100</v>
      </c>
      <c r="AX72" s="108">
        <v>1</v>
      </c>
      <c r="AY72" s="146" t="str">
        <f>電材表!S18</f>
        <v>個</v>
      </c>
      <c r="AZ72" s="152">
        <f>電材表!T18</f>
        <v>20100</v>
      </c>
      <c r="BA72" s="152">
        <f>電材表!U18</f>
        <v>5580</v>
      </c>
      <c r="BB72" s="151">
        <f>電材表!V18</f>
        <v>0</v>
      </c>
      <c r="BC72" s="25" t="s">
        <v>2296</v>
      </c>
      <c r="BF72" s="108" t="s">
        <v>2325</v>
      </c>
      <c r="BG72" s="108">
        <v>1</v>
      </c>
      <c r="BH72" s="108" t="s">
        <v>2299</v>
      </c>
      <c r="BI72" s="144">
        <v>30000</v>
      </c>
      <c r="BJ72" s="144">
        <v>15000</v>
      </c>
      <c r="BK72" s="145">
        <v>0</v>
      </c>
      <c r="BL72" s="108"/>
    </row>
    <row r="73" spans="1:64">
      <c r="E73" s="108" t="s">
        <v>2320</v>
      </c>
      <c r="F73" s="108">
        <v>1</v>
      </c>
      <c r="G73" s="108" t="s">
        <v>2290</v>
      </c>
      <c r="H73" s="148">
        <f>ROUND(項目表!$E$3*標準項!K73,-3)</f>
        <v>152000</v>
      </c>
      <c r="I73" s="148">
        <f>ROUND(項目表!$F$3*標準項!K73,-3)</f>
        <v>94000</v>
      </c>
      <c r="J73" s="145"/>
      <c r="K73" s="157">
        <v>3.2</v>
      </c>
      <c r="N73" s="234" t="s">
        <v>2523</v>
      </c>
      <c r="O73" s="108">
        <v>1</v>
      </c>
      <c r="P73" s="39" t="str">
        <f>機器表!EL17</f>
        <v>ｾｯﾄ</v>
      </c>
      <c r="Q73" s="37">
        <f>機器表!EM17</f>
        <v>145000</v>
      </c>
      <c r="R73" s="37">
        <f>機器表!EN17</f>
        <v>52380</v>
      </c>
      <c r="S73" s="57">
        <f>機器表!EO17</f>
        <v>0.5</v>
      </c>
      <c r="T73" s="108" t="s">
        <v>2280</v>
      </c>
      <c r="W73" s="234" t="s">
        <v>2523</v>
      </c>
      <c r="X73" s="108">
        <v>1</v>
      </c>
      <c r="Y73" s="39" t="str">
        <f>機器表!EL17</f>
        <v>ｾｯﾄ</v>
      </c>
      <c r="Z73" s="37">
        <f>機器表!EM17</f>
        <v>145000</v>
      </c>
      <c r="AA73" s="37">
        <f>機器表!EN17</f>
        <v>52380</v>
      </c>
      <c r="AB73" s="57">
        <f>機器表!EO17</f>
        <v>0.5</v>
      </c>
      <c r="AC73" s="108" t="s">
        <v>2280</v>
      </c>
      <c r="AE73" s="146" t="str">
        <f>CONCATENATE("①",管材表!BO7,"　",管材表!BP7)</f>
        <v>①ﾁｬｯｷ弁　40A(ｽｲﾝｸﾞ)</v>
      </c>
      <c r="AF73" s="108">
        <v>1</v>
      </c>
      <c r="AG73" s="146" t="str">
        <f>管材表!BQ7</f>
        <v>個</v>
      </c>
      <c r="AH73" s="152">
        <f>管材表!BR7</f>
        <v>21200</v>
      </c>
      <c r="AI73" s="152">
        <f>管材表!BS7</f>
        <v>13780</v>
      </c>
      <c r="AJ73" s="151">
        <f>管材表!BT7</f>
        <v>0.16</v>
      </c>
      <c r="AK73" s="108" t="s">
        <v>2304</v>
      </c>
      <c r="AN73" s="25" t="s">
        <v>2524</v>
      </c>
      <c r="AO73" s="25">
        <v>1</v>
      </c>
      <c r="AP73" s="26" t="s">
        <v>49</v>
      </c>
      <c r="AQ73" s="111">
        <v>5200</v>
      </c>
      <c r="AR73" s="111">
        <v>1300</v>
      </c>
      <c r="AS73" s="117">
        <v>0</v>
      </c>
      <c r="AW73" s="108" t="s">
        <v>2305</v>
      </c>
      <c r="AX73" s="108">
        <v>1</v>
      </c>
      <c r="AY73" s="39" t="str">
        <f>機器表!EL7</f>
        <v>ｾｯﾄ</v>
      </c>
      <c r="AZ73" s="37">
        <f>機器表!EM7</f>
        <v>60400</v>
      </c>
      <c r="BA73" s="37">
        <f>機器表!EN7</f>
        <v>20760</v>
      </c>
      <c r="BB73" s="57">
        <f>機器表!EO7</f>
        <v>0.5</v>
      </c>
      <c r="BC73" s="108" t="s">
        <v>2280</v>
      </c>
    </row>
    <row r="74" spans="1:64">
      <c r="E74" s="108" t="s">
        <v>2525</v>
      </c>
      <c r="F74" s="108">
        <v>1</v>
      </c>
      <c r="G74" s="108" t="s">
        <v>2299</v>
      </c>
      <c r="H74" s="144">
        <v>5000</v>
      </c>
      <c r="I74" s="144">
        <v>3000</v>
      </c>
      <c r="J74" s="145">
        <v>0</v>
      </c>
      <c r="K74" s="108"/>
      <c r="N74" s="108" t="s">
        <v>2308</v>
      </c>
      <c r="O74" s="108">
        <v>1</v>
      </c>
      <c r="P74" s="108" t="s">
        <v>2290</v>
      </c>
      <c r="Q74" s="150">
        <f>ROUND(項目表!$E$3*標準項!T74,-3)</f>
        <v>24000</v>
      </c>
      <c r="R74" s="150">
        <f>ROUND(項目表!$F$3*標準項!T74,-3)</f>
        <v>15000</v>
      </c>
      <c r="S74" s="145"/>
      <c r="T74" s="154">
        <f>S73</f>
        <v>0.5</v>
      </c>
      <c r="W74" s="108" t="s">
        <v>2308</v>
      </c>
      <c r="X74" s="108">
        <v>1</v>
      </c>
      <c r="Y74" s="108" t="s">
        <v>2290</v>
      </c>
      <c r="Z74" s="148">
        <f>ROUND(項目表!$E$3*標準項!AC74,-3)</f>
        <v>24000</v>
      </c>
      <c r="AA74" s="148">
        <f>ROUND(項目表!$F$3*標準項!AC74,-3)</f>
        <v>15000</v>
      </c>
      <c r="AB74" s="145"/>
      <c r="AC74" s="154">
        <f>AB73</f>
        <v>0.5</v>
      </c>
      <c r="AE74" s="108" t="s">
        <v>2526</v>
      </c>
      <c r="AF74" s="108">
        <v>1</v>
      </c>
      <c r="AG74" s="108" t="s">
        <v>1824</v>
      </c>
      <c r="AH74" s="144">
        <v>3000</v>
      </c>
      <c r="AI74" s="144">
        <v>2500</v>
      </c>
      <c r="AJ74" s="145"/>
      <c r="AK74" s="108"/>
      <c r="AN74" s="25" t="s">
        <v>2476</v>
      </c>
      <c r="AO74" s="25">
        <v>1</v>
      </c>
      <c r="AP74" s="25" t="s">
        <v>49</v>
      </c>
      <c r="AQ74" s="28">
        <v>50000</v>
      </c>
      <c r="AR74" s="28">
        <v>35000</v>
      </c>
      <c r="AW74" s="108" t="s">
        <v>2311</v>
      </c>
      <c r="AX74" s="108">
        <v>1</v>
      </c>
      <c r="AY74" s="39" t="str">
        <f>機器表!EL24</f>
        <v>本</v>
      </c>
      <c r="AZ74" s="37">
        <f>機器表!EM24</f>
        <v>8470</v>
      </c>
      <c r="BA74" s="37">
        <f>機器表!EN24</f>
        <v>2090</v>
      </c>
      <c r="BB74" s="57">
        <f>機器表!EO24</f>
        <v>0.1</v>
      </c>
      <c r="BC74" s="108" t="s">
        <v>2280</v>
      </c>
    </row>
    <row r="75" spans="1:64">
      <c r="E75" s="108" t="s">
        <v>2325</v>
      </c>
      <c r="F75" s="108">
        <v>1</v>
      </c>
      <c r="G75" s="108" t="s">
        <v>2299</v>
      </c>
      <c r="H75" s="148">
        <v>20000</v>
      </c>
      <c r="I75" s="148">
        <v>10000</v>
      </c>
      <c r="J75" s="145">
        <v>0</v>
      </c>
      <c r="K75" s="108"/>
      <c r="L75" s="108"/>
      <c r="N75" s="108" t="s">
        <v>2455</v>
      </c>
      <c r="O75" s="108">
        <v>1</v>
      </c>
      <c r="P75" s="39" t="str">
        <f>機器表!EL10</f>
        <v>ｾｯﾄ</v>
      </c>
      <c r="Q75" s="37">
        <f>機器表!EM10</f>
        <v>108400</v>
      </c>
      <c r="R75" s="37">
        <f>機器表!EN10</f>
        <v>37760</v>
      </c>
      <c r="S75" s="57">
        <f>機器表!EO10</f>
        <v>0.7</v>
      </c>
      <c r="T75" s="108" t="s">
        <v>2280</v>
      </c>
      <c r="W75" s="108" t="s">
        <v>2455</v>
      </c>
      <c r="X75" s="108">
        <v>1</v>
      </c>
      <c r="Y75" s="39" t="str">
        <f>機器表!EL10</f>
        <v>ｾｯﾄ</v>
      </c>
      <c r="Z75" s="37">
        <f>機器表!EM10</f>
        <v>108400</v>
      </c>
      <c r="AA75" s="37">
        <f>機器表!EN10</f>
        <v>37760</v>
      </c>
      <c r="AB75" s="57">
        <f>機器表!EO10</f>
        <v>0.7</v>
      </c>
      <c r="AC75" s="108" t="s">
        <v>2280</v>
      </c>
      <c r="AE75" s="108" t="s">
        <v>2527</v>
      </c>
      <c r="AF75" s="108">
        <v>1</v>
      </c>
      <c r="AG75" s="108" t="s">
        <v>1824</v>
      </c>
      <c r="AH75" s="144">
        <v>4000</v>
      </c>
      <c r="AI75" s="144">
        <v>3000</v>
      </c>
      <c r="AJ75" s="145"/>
      <c r="AK75" s="108"/>
      <c r="AN75" s="25" t="s">
        <v>2528</v>
      </c>
      <c r="AO75" s="25">
        <v>1</v>
      </c>
      <c r="AP75" s="25" t="s">
        <v>49</v>
      </c>
      <c r="AQ75" s="28">
        <v>30000</v>
      </c>
      <c r="AR75" s="28">
        <v>15000</v>
      </c>
      <c r="AW75" s="108" t="s">
        <v>2316</v>
      </c>
      <c r="AX75" s="108">
        <v>1</v>
      </c>
      <c r="AY75" s="39" t="str">
        <f>機器表!EL36</f>
        <v>個</v>
      </c>
      <c r="AZ75" s="37">
        <f>機器表!EM36</f>
        <v>6490</v>
      </c>
      <c r="BA75" s="37">
        <f>機器表!EN36</f>
        <v>1360</v>
      </c>
      <c r="BB75" s="57">
        <f>機器表!EO36</f>
        <v>0.1</v>
      </c>
      <c r="BC75" s="108" t="s">
        <v>2280</v>
      </c>
    </row>
    <row r="76" spans="1:64">
      <c r="L76" s="108"/>
      <c r="N76" s="108" t="s">
        <v>2459</v>
      </c>
      <c r="O76" s="108">
        <v>2</v>
      </c>
      <c r="P76" s="39" t="str">
        <f>機器表!EL27</f>
        <v>本</v>
      </c>
      <c r="Q76" s="37">
        <f>機器表!EM27</f>
        <v>12600</v>
      </c>
      <c r="R76" s="37">
        <f>機器表!EN27</f>
        <v>3340</v>
      </c>
      <c r="S76" s="57">
        <f>機器表!EO27</f>
        <v>0.1</v>
      </c>
      <c r="T76" s="108" t="s">
        <v>2280</v>
      </c>
      <c r="W76" s="108" t="s">
        <v>2459</v>
      </c>
      <c r="X76" s="108">
        <v>2</v>
      </c>
      <c r="Y76" s="39" t="str">
        <f>機器表!EL27</f>
        <v>本</v>
      </c>
      <c r="Z76" s="37">
        <f>機器表!EM27</f>
        <v>12600</v>
      </c>
      <c r="AA76" s="37">
        <f>機器表!EN27</f>
        <v>3340</v>
      </c>
      <c r="AB76" s="57">
        <f>機器表!EO27</f>
        <v>0.1</v>
      </c>
      <c r="AC76" s="108" t="s">
        <v>2280</v>
      </c>
      <c r="AE76" s="108" t="s">
        <v>2529</v>
      </c>
      <c r="AF76" s="108">
        <v>1</v>
      </c>
      <c r="AG76" s="108" t="s">
        <v>2299</v>
      </c>
      <c r="AH76" s="144">
        <v>35000</v>
      </c>
      <c r="AI76" s="144">
        <v>25000</v>
      </c>
      <c r="AJ76" s="145"/>
      <c r="AK76" s="108"/>
      <c r="AN76" s="25" t="s">
        <v>2530</v>
      </c>
      <c r="AO76" s="25">
        <v>1</v>
      </c>
      <c r="AP76" s="25" t="s">
        <v>49</v>
      </c>
      <c r="AQ76" s="28">
        <v>52000</v>
      </c>
      <c r="AR76" s="28">
        <v>65000</v>
      </c>
      <c r="AW76" s="108" t="s">
        <v>2318</v>
      </c>
      <c r="AX76" s="108">
        <v>1</v>
      </c>
      <c r="AY76" s="108" t="s">
        <v>1824</v>
      </c>
      <c r="AZ76" s="144">
        <v>15000</v>
      </c>
      <c r="BA76" s="144">
        <v>10000</v>
      </c>
      <c r="BB76" s="145">
        <v>0</v>
      </c>
      <c r="BC76" s="108"/>
    </row>
    <row r="77" spans="1:64">
      <c r="N77" s="108" t="s">
        <v>2463</v>
      </c>
      <c r="O77" s="108">
        <v>1</v>
      </c>
      <c r="P77" s="39" t="str">
        <f>機器表!EL39</f>
        <v>個</v>
      </c>
      <c r="Q77" s="37">
        <f>機器表!EM39</f>
        <v>16000</v>
      </c>
      <c r="R77" s="37">
        <f>機器表!EN39</f>
        <v>2820</v>
      </c>
      <c r="S77" s="57">
        <f>機器表!EO39</f>
        <v>0.1</v>
      </c>
      <c r="T77" s="108" t="s">
        <v>2280</v>
      </c>
      <c r="W77" s="108" t="s">
        <v>2463</v>
      </c>
      <c r="X77" s="108">
        <v>1</v>
      </c>
      <c r="Y77" s="39" t="str">
        <f>機器表!EL39</f>
        <v>個</v>
      </c>
      <c r="Z77" s="37">
        <f>機器表!EM39</f>
        <v>16000</v>
      </c>
      <c r="AA77" s="37">
        <f>機器表!EN39</f>
        <v>2820</v>
      </c>
      <c r="AB77" s="57">
        <f>機器表!EO39</f>
        <v>0.1</v>
      </c>
      <c r="AC77" s="108" t="s">
        <v>2280</v>
      </c>
      <c r="AE77" s="108" t="s">
        <v>2531</v>
      </c>
      <c r="AF77" s="108">
        <v>4</v>
      </c>
      <c r="AG77" s="108" t="s">
        <v>1824</v>
      </c>
      <c r="AH77" s="144">
        <v>28000</v>
      </c>
      <c r="AI77" s="144">
        <v>22000</v>
      </c>
      <c r="AJ77" s="145"/>
      <c r="AK77" s="108"/>
      <c r="AN77" s="25" t="s">
        <v>2532</v>
      </c>
      <c r="AO77" s="25">
        <v>1</v>
      </c>
      <c r="AP77" s="25" t="s">
        <v>49</v>
      </c>
      <c r="AQ77" s="28">
        <v>62000</v>
      </c>
      <c r="AR77" s="28">
        <v>52000</v>
      </c>
      <c r="AW77" s="108" t="s">
        <v>2327</v>
      </c>
      <c r="AX77" s="108">
        <v>1</v>
      </c>
      <c r="AY77" s="108" t="s">
        <v>2299</v>
      </c>
      <c r="AZ77" s="148">
        <f>ROUND(項目表!$E$3*BC77,-3)</f>
        <v>36000</v>
      </c>
      <c r="BA77" s="148">
        <f>ROUND(項目表!$F$3*標準項!BC77,-3)</f>
        <v>22000</v>
      </c>
      <c r="BB77" s="145"/>
      <c r="BC77" s="157">
        <v>0.75</v>
      </c>
    </row>
    <row r="78" spans="1:64">
      <c r="L78" s="108"/>
      <c r="N78" s="108" t="s">
        <v>2318</v>
      </c>
      <c r="O78" s="108">
        <v>1</v>
      </c>
      <c r="P78" s="108" t="s">
        <v>1824</v>
      </c>
      <c r="Q78" s="148">
        <v>25000</v>
      </c>
      <c r="R78" s="144">
        <v>14000</v>
      </c>
      <c r="S78" s="145"/>
      <c r="T78" s="108"/>
      <c r="W78" s="108" t="s">
        <v>2331</v>
      </c>
      <c r="X78" s="108">
        <v>1</v>
      </c>
      <c r="Y78" s="108" t="s">
        <v>1824</v>
      </c>
      <c r="Z78" s="148">
        <v>25000</v>
      </c>
      <c r="AA78" s="144">
        <v>14000</v>
      </c>
      <c r="AB78" s="145"/>
      <c r="AC78" s="108"/>
      <c r="AE78" s="108" t="s">
        <v>2533</v>
      </c>
      <c r="AF78" s="108">
        <v>1</v>
      </c>
      <c r="AG78" s="108" t="s">
        <v>2299</v>
      </c>
      <c r="AH78" s="144">
        <v>165000</v>
      </c>
      <c r="AI78" s="144">
        <v>120000</v>
      </c>
      <c r="AJ78" s="145"/>
      <c r="AK78" s="108"/>
      <c r="AN78" s="25" t="s">
        <v>2534</v>
      </c>
      <c r="AO78" s="25">
        <v>1</v>
      </c>
      <c r="AP78" s="25" t="s">
        <v>49</v>
      </c>
      <c r="AQ78" s="28">
        <v>62000</v>
      </c>
      <c r="AR78" s="28">
        <v>52000</v>
      </c>
      <c r="AW78" s="108" t="s">
        <v>2334</v>
      </c>
      <c r="AX78" s="108">
        <v>1</v>
      </c>
      <c r="AY78" s="108" t="s">
        <v>2299</v>
      </c>
      <c r="AZ78" s="144">
        <v>15000</v>
      </c>
      <c r="BA78" s="144">
        <v>10000</v>
      </c>
      <c r="BB78" s="145">
        <v>0</v>
      </c>
      <c r="BC78" s="108"/>
    </row>
    <row r="79" spans="1:64">
      <c r="E79" s="51" t="s">
        <v>557</v>
      </c>
      <c r="L79" s="108"/>
      <c r="N79" s="25" t="s">
        <v>2323</v>
      </c>
      <c r="O79" s="108">
        <v>1</v>
      </c>
      <c r="P79" s="108" t="s">
        <v>2290</v>
      </c>
      <c r="Q79" s="148">
        <f>ROUND(項目表!$E$3*標準項!T79,-3)</f>
        <v>43000</v>
      </c>
      <c r="R79" s="148">
        <f>ROUND(項目表!$F$3*標準項!T79,-3)</f>
        <v>26000</v>
      </c>
      <c r="S79" s="145"/>
      <c r="T79" s="174">
        <v>0.9</v>
      </c>
      <c r="W79" s="25" t="s">
        <v>2323</v>
      </c>
      <c r="X79" s="108">
        <v>1</v>
      </c>
      <c r="Y79" s="108" t="s">
        <v>2290</v>
      </c>
      <c r="Z79" s="148">
        <f>ROUND(項目表!$E$3*標準項!AC79,-3)</f>
        <v>43000</v>
      </c>
      <c r="AA79" s="148">
        <f>ROUND(項目表!$F$3*標準項!AC79,-3)</f>
        <v>26000</v>
      </c>
      <c r="AB79" s="145"/>
      <c r="AC79" s="174">
        <v>0.9</v>
      </c>
      <c r="AE79" s="108" t="s">
        <v>2535</v>
      </c>
      <c r="AF79" s="108">
        <v>1</v>
      </c>
      <c r="AG79" s="108" t="s">
        <v>2299</v>
      </c>
      <c r="AH79" s="144">
        <v>120000</v>
      </c>
      <c r="AI79" s="144">
        <v>75000</v>
      </c>
      <c r="AJ79" s="145"/>
      <c r="AK79" s="108"/>
      <c r="AN79" s="25" t="s">
        <v>2536</v>
      </c>
      <c r="AO79" s="25">
        <v>3</v>
      </c>
      <c r="AP79" s="25" t="s">
        <v>49</v>
      </c>
      <c r="AQ79" s="28">
        <v>52000</v>
      </c>
      <c r="AR79" s="28">
        <v>65000</v>
      </c>
      <c r="AW79" s="108" t="s">
        <v>2497</v>
      </c>
      <c r="AX79" s="108">
        <v>1</v>
      </c>
      <c r="AY79" s="39" t="str">
        <f>機器表!ET12</f>
        <v>本</v>
      </c>
      <c r="AZ79" s="37">
        <f>機器表!EU12</f>
        <v>22800</v>
      </c>
      <c r="BA79" s="37">
        <f>機器表!EV12</f>
        <v>11350</v>
      </c>
      <c r="BB79" s="57">
        <f>機器表!EW12</f>
        <v>0</v>
      </c>
      <c r="BC79" s="108" t="s">
        <v>2280</v>
      </c>
    </row>
    <row r="80" spans="1:64">
      <c r="E80" s="146" t="str">
        <f>CONCATENATE("○",機器表!AB10,"　",機器表!AC10)</f>
        <v>○ﾊｳｽﾎﾞｲﾗ　HB-1007TA</v>
      </c>
      <c r="F80" s="108">
        <v>1</v>
      </c>
      <c r="G80" s="147" t="str">
        <f>機器表!AD10</f>
        <v>台</v>
      </c>
      <c r="H80" s="36">
        <f>機器表!AE10</f>
        <v>2145000</v>
      </c>
      <c r="I80" s="36">
        <f>機器表!AF10</f>
        <v>761850</v>
      </c>
      <c r="J80" s="56">
        <f>機器表!AG10</f>
        <v>1.7</v>
      </c>
      <c r="K80" s="108" t="s">
        <v>2280</v>
      </c>
      <c r="L80" s="108"/>
      <c r="N80" s="108" t="s">
        <v>2343</v>
      </c>
      <c r="O80" s="108">
        <v>1</v>
      </c>
      <c r="P80" s="108" t="s">
        <v>1268</v>
      </c>
      <c r="Q80" s="144">
        <v>35000</v>
      </c>
      <c r="R80" s="144">
        <v>18000</v>
      </c>
      <c r="S80" s="145">
        <v>0.1</v>
      </c>
      <c r="T80" s="108" t="s">
        <v>2280</v>
      </c>
      <c r="W80" s="108" t="s">
        <v>2343</v>
      </c>
      <c r="X80" s="108">
        <v>1</v>
      </c>
      <c r="Y80" s="108" t="s">
        <v>1268</v>
      </c>
      <c r="Z80" s="144">
        <v>35000</v>
      </c>
      <c r="AA80" s="144">
        <v>18000</v>
      </c>
      <c r="AB80" s="145">
        <v>0.1</v>
      </c>
      <c r="AC80" s="108" t="s">
        <v>2280</v>
      </c>
      <c r="AE80" s="108" t="s">
        <v>2537</v>
      </c>
      <c r="AF80" s="108">
        <v>1</v>
      </c>
      <c r="AG80" s="108" t="s">
        <v>2299</v>
      </c>
      <c r="AH80" s="144">
        <v>25000</v>
      </c>
      <c r="AI80" s="144">
        <v>15000</v>
      </c>
      <c r="AJ80" s="145"/>
      <c r="AK80" s="108"/>
      <c r="AN80" s="25" t="s">
        <v>2362</v>
      </c>
      <c r="AO80" s="25">
        <v>1</v>
      </c>
      <c r="AP80" s="25" t="s">
        <v>49</v>
      </c>
      <c r="AQ80" s="28">
        <v>20000</v>
      </c>
      <c r="AR80" s="28">
        <v>10000</v>
      </c>
      <c r="AW80" s="108" t="s">
        <v>2500</v>
      </c>
      <c r="AX80" s="108">
        <v>1</v>
      </c>
      <c r="AY80" s="39" t="str">
        <f>機器表!ET55</f>
        <v>ｾｯﾄ</v>
      </c>
      <c r="AZ80" s="37">
        <f>機器表!EU55</f>
        <v>26200</v>
      </c>
      <c r="BA80" s="37">
        <f>機器表!EV55</f>
        <v>6990</v>
      </c>
      <c r="BB80" s="57">
        <f>機器表!EW55</f>
        <v>0</v>
      </c>
      <c r="BC80" s="108" t="s">
        <v>2280</v>
      </c>
    </row>
    <row r="81" spans="5:64">
      <c r="E81" s="108" t="s">
        <v>2289</v>
      </c>
      <c r="F81" s="108">
        <v>1</v>
      </c>
      <c r="G81" s="108" t="s">
        <v>2290</v>
      </c>
      <c r="H81" s="148">
        <f>ROUND(項目表!$E$3*標準項!K81,-3)</f>
        <v>78000</v>
      </c>
      <c r="I81" s="148">
        <f>ROUND(項目表!$F$3*標準項!K81,-3)</f>
        <v>49000</v>
      </c>
      <c r="J81" s="145"/>
      <c r="K81" s="149">
        <v>1.65</v>
      </c>
      <c r="L81" s="108"/>
      <c r="N81" s="108" t="s">
        <v>2538</v>
      </c>
      <c r="O81" s="108">
        <v>1</v>
      </c>
      <c r="P81" s="39" t="str">
        <f>機器表!ET16</f>
        <v>本</v>
      </c>
      <c r="Q81" s="37">
        <f>機器表!EU16</f>
        <v>25100</v>
      </c>
      <c r="R81" s="37">
        <f>機器表!EV16</f>
        <v>12550</v>
      </c>
      <c r="S81" s="57">
        <f>機器表!EW16</f>
        <v>0</v>
      </c>
      <c r="T81" s="108" t="s">
        <v>2280</v>
      </c>
      <c r="W81" s="146" t="str">
        <f>CONCATENATE("○",機器表!ER19,"　",機器表!ES19)</f>
        <v>○ﾊﾟﾜｰﾀﾞｸﾄ　折幅550×200m(0.07)</v>
      </c>
      <c r="X81" s="108">
        <v>2</v>
      </c>
      <c r="Y81" s="39" t="str">
        <f>機器表!ET19</f>
        <v>本</v>
      </c>
      <c r="Z81" s="37">
        <f>機器表!EU19</f>
        <v>33500</v>
      </c>
      <c r="AA81" s="37">
        <f>機器表!EV19</f>
        <v>17200</v>
      </c>
      <c r="AB81" s="57">
        <f>機器表!EW19</f>
        <v>0</v>
      </c>
      <c r="AC81" s="108" t="s">
        <v>2280</v>
      </c>
      <c r="AE81" s="108" t="s">
        <v>2539</v>
      </c>
      <c r="AF81" s="108">
        <v>1</v>
      </c>
      <c r="AG81" s="108" t="s">
        <v>2299</v>
      </c>
      <c r="AH81" s="144">
        <v>220000</v>
      </c>
      <c r="AI81" s="144">
        <v>175000</v>
      </c>
      <c r="AJ81" s="145"/>
      <c r="AK81" s="108"/>
      <c r="AW81" s="108" t="s">
        <v>2325</v>
      </c>
      <c r="AX81" s="108">
        <v>1</v>
      </c>
      <c r="AY81" s="108" t="s">
        <v>2299</v>
      </c>
      <c r="AZ81" s="73">
        <v>15000</v>
      </c>
      <c r="BA81" s="73">
        <v>7500</v>
      </c>
      <c r="BB81" s="145">
        <v>0</v>
      </c>
      <c r="BC81" s="108"/>
    </row>
    <row r="82" spans="5:64">
      <c r="E82" s="39" t="str">
        <f>CONCATENATE("③",電材表!Q18,"　",電材表!R18)</f>
        <v>③感震器　BES-100</v>
      </c>
      <c r="F82" s="108">
        <v>1</v>
      </c>
      <c r="G82" s="146" t="str">
        <f>電材表!S18</f>
        <v>個</v>
      </c>
      <c r="H82" s="37">
        <f>電材表!T18</f>
        <v>20100</v>
      </c>
      <c r="I82" s="37">
        <f>電材表!U18</f>
        <v>5580</v>
      </c>
      <c r="J82" s="57">
        <f>電材表!V18</f>
        <v>0</v>
      </c>
      <c r="K82" s="25" t="s">
        <v>2295</v>
      </c>
      <c r="L82" s="108"/>
      <c r="N82" s="108" t="s">
        <v>2350</v>
      </c>
      <c r="O82" s="108">
        <v>4</v>
      </c>
      <c r="P82" s="39" t="str">
        <f>機器表!ET14</f>
        <v>本</v>
      </c>
      <c r="Q82" s="37">
        <f>機器表!EU14</f>
        <v>18000</v>
      </c>
      <c r="R82" s="37">
        <f>機器表!EV14</f>
        <v>8150</v>
      </c>
      <c r="S82" s="57">
        <f>機器表!EW14</f>
        <v>0</v>
      </c>
      <c r="T82" s="108" t="s">
        <v>2280</v>
      </c>
      <c r="W82" s="243" t="s">
        <v>2540</v>
      </c>
      <c r="X82" s="174">
        <v>2</v>
      </c>
      <c r="Y82" s="126" t="s">
        <v>991</v>
      </c>
      <c r="Z82" s="73">
        <v>6300</v>
      </c>
      <c r="AA82" s="73">
        <v>1000</v>
      </c>
      <c r="AE82" s="108" t="s">
        <v>2541</v>
      </c>
      <c r="AF82" s="108">
        <v>1</v>
      </c>
      <c r="AG82" s="108" t="s">
        <v>2299</v>
      </c>
      <c r="AH82" s="144">
        <v>225000</v>
      </c>
      <c r="AI82" s="144">
        <v>150000</v>
      </c>
      <c r="AJ82" s="145"/>
      <c r="AK82" s="108"/>
      <c r="BF82" s="51" t="s">
        <v>2542</v>
      </c>
    </row>
    <row r="83" spans="5:64">
      <c r="E83" s="146" t="str">
        <f>CONCATENATE("○",機器表!EJ49,"　",機器表!EK49)</f>
        <v>○煙道延長ｾｯﾄ　BEA-H-900</v>
      </c>
      <c r="F83" s="108">
        <v>1</v>
      </c>
      <c r="G83" s="39" t="str">
        <f>機器表!EL49</f>
        <v>ｾｯﾄ</v>
      </c>
      <c r="H83" s="37">
        <f>機器表!EM49</f>
        <v>103100</v>
      </c>
      <c r="I83" s="37">
        <f>機器表!EN49</f>
        <v>22710</v>
      </c>
      <c r="J83" s="57">
        <f>機器表!EO49</f>
        <v>0.4</v>
      </c>
      <c r="K83" s="108" t="s">
        <v>2280</v>
      </c>
      <c r="L83" s="108"/>
      <c r="N83" s="108" t="s">
        <v>2543</v>
      </c>
      <c r="O83" s="108">
        <v>8</v>
      </c>
      <c r="P83" s="39" t="str">
        <f>機器表!ET51</f>
        <v>ｾｯﾄ</v>
      </c>
      <c r="Q83" s="37">
        <f>機器表!EU51</f>
        <v>3120</v>
      </c>
      <c r="R83" s="194">
        <f>機器表!EV51</f>
        <v>840</v>
      </c>
      <c r="S83" s="57">
        <f>機器表!EW51</f>
        <v>0</v>
      </c>
      <c r="T83" s="108" t="s">
        <v>2280</v>
      </c>
      <c r="W83" s="234" t="s">
        <v>2544</v>
      </c>
      <c r="X83" s="234">
        <v>1</v>
      </c>
      <c r="Y83" s="224" t="str">
        <f>機器表!EL58</f>
        <v>ｾｯﾄ</v>
      </c>
      <c r="Z83" s="227">
        <f>機器表!EM58</f>
        <v>12400</v>
      </c>
      <c r="AA83" s="227">
        <f>機器表!EN58</f>
        <v>5220</v>
      </c>
      <c r="AB83" s="235">
        <f>機器表!EO58</f>
        <v>0</v>
      </c>
      <c r="AC83" s="234" t="s">
        <v>2280</v>
      </c>
      <c r="AE83" s="108" t="s">
        <v>2325</v>
      </c>
      <c r="AF83" s="108">
        <v>1</v>
      </c>
      <c r="AG83" s="108" t="s">
        <v>2299</v>
      </c>
      <c r="AH83" s="144">
        <v>250000</v>
      </c>
      <c r="AI83" s="144">
        <v>150000</v>
      </c>
      <c r="AJ83" s="145"/>
      <c r="AK83" s="108"/>
      <c r="AN83" s="51" t="s">
        <v>2545</v>
      </c>
      <c r="BF83" s="108" t="s">
        <v>2546</v>
      </c>
      <c r="BG83" s="108">
        <v>2</v>
      </c>
      <c r="BH83" s="146" t="str">
        <f>機器表!BJ17</f>
        <v>基</v>
      </c>
      <c r="BI83" s="161">
        <f>機器表!BK17</f>
        <v>121700</v>
      </c>
      <c r="BJ83" s="161">
        <f>機器表!BL17</f>
        <v>33020</v>
      </c>
      <c r="BK83" s="162">
        <f>機器表!BM17</f>
        <v>0.5</v>
      </c>
      <c r="BL83" s="108" t="s">
        <v>2333</v>
      </c>
    </row>
    <row r="84" spans="5:64">
      <c r="E84" s="146" t="str">
        <f>CONCATENATE("○",機器表!EJ5,"　",機器表!EK5)</f>
        <v xml:space="preserve">○煙突ｾｯﾄ　BEP-3P2252網付 </v>
      </c>
      <c r="F84" s="108">
        <v>1</v>
      </c>
      <c r="G84" s="39" t="str">
        <f>機器表!EL5</f>
        <v>ｾｯﾄ</v>
      </c>
      <c r="H84" s="37">
        <f>機器表!EM5</f>
        <v>72800</v>
      </c>
      <c r="I84" s="37">
        <f>機器表!EN5</f>
        <v>23470</v>
      </c>
      <c r="J84" s="57">
        <f>機器表!EO5</f>
        <v>0.7</v>
      </c>
      <c r="K84" s="108" t="s">
        <v>2280</v>
      </c>
      <c r="L84" s="108"/>
      <c r="N84" s="234" t="s">
        <v>2544</v>
      </c>
      <c r="O84" s="234">
        <v>1</v>
      </c>
      <c r="P84" s="224" t="str">
        <f>機器表!EL58</f>
        <v>ｾｯﾄ</v>
      </c>
      <c r="Q84" s="227">
        <f>機器表!EM58</f>
        <v>12400</v>
      </c>
      <c r="R84" s="227">
        <f>機器表!EN58</f>
        <v>5220</v>
      </c>
      <c r="S84" s="235">
        <f>機器表!EO58</f>
        <v>0</v>
      </c>
      <c r="T84" s="234" t="s">
        <v>2280</v>
      </c>
      <c r="W84" s="108" t="s">
        <v>2325</v>
      </c>
      <c r="X84" s="108">
        <v>1</v>
      </c>
      <c r="Y84" s="108" t="s">
        <v>2299</v>
      </c>
      <c r="Z84" s="144">
        <v>20000</v>
      </c>
      <c r="AA84" s="144">
        <v>10000</v>
      </c>
      <c r="AB84" s="145"/>
      <c r="AC84" s="108"/>
      <c r="AE84" s="108"/>
      <c r="AF84" s="108"/>
      <c r="AG84" s="108"/>
      <c r="AH84" s="144"/>
      <c r="AI84" s="144"/>
      <c r="AJ84" s="145"/>
      <c r="AK84" s="108"/>
      <c r="AN84" s="25" t="s">
        <v>2468</v>
      </c>
      <c r="AO84" s="25">
        <v>1</v>
      </c>
      <c r="AP84" s="39" t="str">
        <f>電材表!K39</f>
        <v>台</v>
      </c>
      <c r="AQ84" s="37">
        <f>電材表!L39</f>
        <v>406000</v>
      </c>
      <c r="AR84" s="37">
        <f>電材表!M39</f>
        <v>188780</v>
      </c>
      <c r="AS84" s="57">
        <f>電材表!N402</f>
        <v>0</v>
      </c>
      <c r="AT84" s="25" t="s">
        <v>2295</v>
      </c>
      <c r="AW84" s="51" t="s">
        <v>401</v>
      </c>
      <c r="BF84" s="108" t="s">
        <v>2547</v>
      </c>
      <c r="BG84" s="108">
        <v>1</v>
      </c>
      <c r="BH84" s="108" t="s">
        <v>2290</v>
      </c>
      <c r="BI84" s="148">
        <f>ROUND(項目表!E3*標準項!BL84,-3)</f>
        <v>48000</v>
      </c>
      <c r="BJ84" s="148">
        <f>ROUND(項目表!F3*標準項!BL84,-3)</f>
        <v>29000</v>
      </c>
      <c r="BK84" s="145"/>
      <c r="BL84" s="157">
        <v>1</v>
      </c>
    </row>
    <row r="85" spans="5:64">
      <c r="E85" s="108" t="s">
        <v>2318</v>
      </c>
      <c r="F85" s="108">
        <v>1</v>
      </c>
      <c r="G85" s="108" t="s">
        <v>2299</v>
      </c>
      <c r="H85" s="144">
        <v>25000</v>
      </c>
      <c r="I85" s="144">
        <v>16500</v>
      </c>
      <c r="J85" s="145">
        <v>0</v>
      </c>
      <c r="K85" s="108"/>
      <c r="L85" s="108"/>
      <c r="N85" s="108" t="s">
        <v>2325</v>
      </c>
      <c r="O85" s="108">
        <v>1</v>
      </c>
      <c r="P85" s="108" t="s">
        <v>2299</v>
      </c>
      <c r="Q85" s="144">
        <v>20000</v>
      </c>
      <c r="R85" s="144">
        <v>10000</v>
      </c>
      <c r="S85" s="145"/>
      <c r="T85" s="108"/>
      <c r="AN85" s="25" t="s">
        <v>2548</v>
      </c>
      <c r="AO85" s="25">
        <v>1</v>
      </c>
      <c r="AP85" s="39" t="str">
        <f>電材表!K40</f>
        <v>台</v>
      </c>
      <c r="AQ85" s="37">
        <f>電材表!L40</f>
        <v>134000</v>
      </c>
      <c r="AR85" s="37">
        <f>電材表!M40</f>
        <v>71530</v>
      </c>
      <c r="AS85" s="57">
        <f>電材表!N40</f>
        <v>0</v>
      </c>
      <c r="AT85" s="25" t="s">
        <v>2295</v>
      </c>
      <c r="AW85" s="108" t="s">
        <v>2549</v>
      </c>
      <c r="AX85" s="108">
        <v>1</v>
      </c>
      <c r="AY85" s="203" t="str">
        <f>機器表!V6</f>
        <v>台</v>
      </c>
      <c r="AZ85" s="202">
        <f>機器表!W6</f>
        <v>542000</v>
      </c>
      <c r="BA85" s="202">
        <f>機器表!X6</f>
        <v>176620</v>
      </c>
      <c r="BB85" s="204">
        <f>機器表!Y6</f>
        <v>0.9</v>
      </c>
      <c r="BC85" s="108" t="s">
        <v>2280</v>
      </c>
      <c r="BF85" s="146" t="str">
        <f>CONCATENATE("①",管材表!AQ44,"　",管材表!AR44)</f>
        <v>①塩ﾋﾞ管(耐熱性)　HT φ40</v>
      </c>
      <c r="BG85" s="108">
        <v>20</v>
      </c>
      <c r="BH85" s="146" t="str">
        <f>管材表!AS44</f>
        <v>m</v>
      </c>
      <c r="BI85" s="152">
        <f>管材表!AT44</f>
        <v>1880</v>
      </c>
      <c r="BJ85" s="152">
        <f>管材表!AU44</f>
        <v>1350</v>
      </c>
      <c r="BK85" s="151">
        <f>管材表!AV44</f>
        <v>0.12</v>
      </c>
      <c r="BL85" s="108" t="s">
        <v>2342</v>
      </c>
    </row>
    <row r="86" spans="5:64">
      <c r="E86" s="108" t="s">
        <v>2323</v>
      </c>
      <c r="F86" s="108">
        <v>1</v>
      </c>
      <c r="G86" s="108" t="s">
        <v>2290</v>
      </c>
      <c r="H86" s="148">
        <f>ROUND(項目表!$E$3*標準項!K86,-3)</f>
        <v>52000</v>
      </c>
      <c r="I86" s="148">
        <f>ROUND(項目表!$F$3*標準項!K86,-3)</f>
        <v>32000</v>
      </c>
      <c r="J86" s="145"/>
      <c r="K86" s="157">
        <v>1.1000000000000001</v>
      </c>
      <c r="L86" s="108"/>
      <c r="AN86" s="25" t="s">
        <v>2550</v>
      </c>
      <c r="AO86" s="25">
        <v>1</v>
      </c>
      <c r="AP86" s="39" t="str">
        <f>電材表!K8</f>
        <v>個</v>
      </c>
      <c r="AQ86" s="37">
        <f>電材表!L8</f>
        <v>56500</v>
      </c>
      <c r="AR86" s="37">
        <f>電材表!M8</f>
        <v>18370</v>
      </c>
      <c r="AS86" s="57">
        <f>電材表!N8</f>
        <v>0</v>
      </c>
      <c r="AT86" s="25" t="s">
        <v>2295</v>
      </c>
      <c r="AW86" s="108" t="s">
        <v>2340</v>
      </c>
      <c r="AX86" s="108">
        <v>1</v>
      </c>
      <c r="AY86" s="108" t="s">
        <v>2290</v>
      </c>
      <c r="AZ86" s="148">
        <f>ROUND(項目表!$E$3*標準項!BC86,-3)</f>
        <v>43000</v>
      </c>
      <c r="BA86" s="148">
        <f>ROUND(項目表!$F$3*標準項!BC86,-3)</f>
        <v>26000</v>
      </c>
      <c r="BB86" s="145"/>
      <c r="BC86" s="149">
        <v>0.9</v>
      </c>
      <c r="BF86" s="146" t="str">
        <f>CONCATENATE("①",管材表!AQ41,"　",管材表!AR41)</f>
        <v>①塩ﾋﾞ管(耐熱性)　HT φ20</v>
      </c>
      <c r="BG86" s="108">
        <v>10</v>
      </c>
      <c r="BH86" s="146" t="str">
        <f>管材表!AS41</f>
        <v>m</v>
      </c>
      <c r="BI86" s="152">
        <f>管材表!AT41</f>
        <v>720</v>
      </c>
      <c r="BJ86" s="152">
        <f>管材表!AU41</f>
        <v>520</v>
      </c>
      <c r="BK86" s="151">
        <f>管材表!AV41</f>
        <v>7.0000000000000007E-2</v>
      </c>
      <c r="BL86" s="108" t="s">
        <v>2304</v>
      </c>
    </row>
    <row r="87" spans="5:64">
      <c r="E87" s="108" t="s">
        <v>2551</v>
      </c>
      <c r="F87" s="108">
        <v>1</v>
      </c>
      <c r="G87" s="108" t="s">
        <v>2299</v>
      </c>
      <c r="H87" s="144">
        <v>46500</v>
      </c>
      <c r="I87" s="144">
        <v>33000</v>
      </c>
      <c r="J87" s="145"/>
      <c r="K87" s="108"/>
      <c r="L87" s="108"/>
      <c r="AN87" s="126" t="s">
        <v>2552</v>
      </c>
      <c r="AO87" s="126">
        <v>1</v>
      </c>
      <c r="AP87" s="126" t="s">
        <v>947</v>
      </c>
      <c r="AQ87" s="73">
        <f>電材表!L10</f>
        <v>27300</v>
      </c>
      <c r="AR87" s="73">
        <f>電材表!M10</f>
        <v>11300</v>
      </c>
      <c r="AS87" s="173">
        <f>電材表!N10</f>
        <v>0</v>
      </c>
      <c r="AT87" s="25" t="s">
        <v>2295</v>
      </c>
      <c r="AW87" s="39" t="str">
        <f>CONCATENATE("③",電材表!Q18,"　",電材表!R18)</f>
        <v>③感震器　BES-100</v>
      </c>
      <c r="AX87" s="108">
        <v>1</v>
      </c>
      <c r="AY87" s="146" t="str">
        <f>電材表!S18</f>
        <v>個</v>
      </c>
      <c r="AZ87" s="152">
        <f>電材表!T18</f>
        <v>20100</v>
      </c>
      <c r="BA87" s="152">
        <f>電材表!U18</f>
        <v>5580</v>
      </c>
      <c r="BB87" s="151">
        <f>電材表!V18</f>
        <v>0</v>
      </c>
      <c r="BC87" s="25" t="s">
        <v>2296</v>
      </c>
      <c r="BF87" s="146" t="str">
        <f>CONCATENATE("①",管材表!BG4,"　",管材表!BH4)</f>
        <v>①ｹﾞｰﾄ弁　20A</v>
      </c>
      <c r="BG87" s="108">
        <v>4</v>
      </c>
      <c r="BH87" s="146" t="str">
        <f>管材表!BI4</f>
        <v>個</v>
      </c>
      <c r="BI87" s="152">
        <f>管材表!BJ4</f>
        <v>8690</v>
      </c>
      <c r="BJ87" s="152">
        <f>管材表!BK4</f>
        <v>5650</v>
      </c>
      <c r="BK87" s="151">
        <f>管材表!BL4</f>
        <v>0.09</v>
      </c>
      <c r="BL87" s="108" t="s">
        <v>2304</v>
      </c>
    </row>
    <row r="88" spans="5:64">
      <c r="E88" s="146" t="str">
        <f>CONCATENATE("○",機器表!CV16,"　",機器表!CW16)</f>
        <v>○ﾗｲﾝﾎﾟﾝﾌﾟ　50Hz φ50 0.75kW</v>
      </c>
      <c r="F88" s="108">
        <v>1</v>
      </c>
      <c r="G88" s="146" t="str">
        <f>機器表!CX16</f>
        <v>台</v>
      </c>
      <c r="H88" s="156">
        <f>機器表!CY16</f>
        <v>223000</v>
      </c>
      <c r="I88" s="156">
        <f>機器表!CZ16</f>
        <v>118190</v>
      </c>
      <c r="J88" s="163">
        <f>機器表!DA16</f>
        <v>0.6</v>
      </c>
      <c r="K88" s="108" t="s">
        <v>2280</v>
      </c>
      <c r="L88" s="108"/>
      <c r="N88" s="51" t="s">
        <v>857</v>
      </c>
      <c r="W88" s="51" t="s">
        <v>887</v>
      </c>
      <c r="AN88" s="39" t="str">
        <f>CONCATENATE("○",電材表!I11,"　",電材表!J11)</f>
        <v>○CO2ｾﾝｻｰ　CGS-14</v>
      </c>
      <c r="AO88" s="25">
        <v>1</v>
      </c>
      <c r="AP88" s="39" t="str">
        <f>電材表!K11</f>
        <v>個</v>
      </c>
      <c r="AQ88" s="37">
        <f>電材表!L11</f>
        <v>66800</v>
      </c>
      <c r="AR88" s="37">
        <f>電材表!M11</f>
        <v>27430</v>
      </c>
      <c r="AS88" s="57">
        <f>電材表!N11</f>
        <v>0</v>
      </c>
      <c r="AT88" s="25" t="s">
        <v>2295</v>
      </c>
      <c r="AW88" s="108" t="s">
        <v>2305</v>
      </c>
      <c r="AX88" s="108">
        <v>1</v>
      </c>
      <c r="AY88" s="39" t="str">
        <f>機器表!EL7</f>
        <v>ｾｯﾄ</v>
      </c>
      <c r="AZ88" s="37">
        <f>機器表!EM7</f>
        <v>60400</v>
      </c>
      <c r="BA88" s="37">
        <f>機器表!EN7</f>
        <v>20760</v>
      </c>
      <c r="BB88" s="57">
        <f>機器表!EO7</f>
        <v>0.5</v>
      </c>
      <c r="BC88" s="108" t="s">
        <v>2280</v>
      </c>
      <c r="BF88" s="146" t="str">
        <f>CONCATENATE("①",管材表!BG3,"　",管材表!BH3)</f>
        <v>①ｹﾞｰﾄ弁　15A</v>
      </c>
      <c r="BG88" s="108">
        <v>4</v>
      </c>
      <c r="BH88" s="146" t="str">
        <f>管材表!BI3</f>
        <v>個</v>
      </c>
      <c r="BI88" s="152">
        <f>管材表!BJ3</f>
        <v>6510</v>
      </c>
      <c r="BJ88" s="152">
        <f>管材表!BK3</f>
        <v>4230</v>
      </c>
      <c r="BK88" s="151">
        <f>管材表!BL3</f>
        <v>0.08</v>
      </c>
      <c r="BL88" s="108" t="s">
        <v>2304</v>
      </c>
    </row>
    <row r="89" spans="5:64">
      <c r="E89" s="108" t="s">
        <v>2308</v>
      </c>
      <c r="F89" s="108">
        <v>1</v>
      </c>
      <c r="G89" s="108" t="s">
        <v>2290</v>
      </c>
      <c r="H89" s="150">
        <f>ROUND(項目表!$E$3*標準項!K89,-3)</f>
        <v>29000</v>
      </c>
      <c r="I89" s="150">
        <f>ROUND(項目表!$F$3*標準項!K89,-3)</f>
        <v>18000</v>
      </c>
      <c r="J89" s="145"/>
      <c r="K89" s="164">
        <f>J88</f>
        <v>0.6</v>
      </c>
      <c r="L89" s="108"/>
      <c r="N89" s="234" t="s">
        <v>2553</v>
      </c>
      <c r="O89" s="108">
        <v>1</v>
      </c>
      <c r="P89" s="147" t="str">
        <f>機器表!N19</f>
        <v>台</v>
      </c>
      <c r="Q89" s="36">
        <f>機器表!O19</f>
        <v>1814000</v>
      </c>
      <c r="R89" s="36">
        <f>機器表!P19</f>
        <v>722990</v>
      </c>
      <c r="S89" s="56">
        <f>機器表!Q19</f>
        <v>2.2000000000000002</v>
      </c>
      <c r="T89" s="108" t="s">
        <v>2333</v>
      </c>
      <c r="W89" s="234" t="s">
        <v>2554</v>
      </c>
      <c r="X89" s="108">
        <v>1</v>
      </c>
      <c r="Y89" s="203" t="str">
        <f>機器表!N20</f>
        <v>台</v>
      </c>
      <c r="Z89" s="202">
        <f>機器表!O20</f>
        <v>1882000</v>
      </c>
      <c r="AA89" s="202">
        <f>機器表!P20</f>
        <v>792990</v>
      </c>
      <c r="AB89" s="204">
        <f>機器表!Q20</f>
        <v>2.2000000000000002</v>
      </c>
      <c r="AC89" s="108" t="s">
        <v>2280</v>
      </c>
      <c r="AN89" s="25" t="s">
        <v>2555</v>
      </c>
      <c r="AO89" s="25">
        <v>1</v>
      </c>
      <c r="AP89" s="39" t="str">
        <f>電材表!K12</f>
        <v>個</v>
      </c>
      <c r="AQ89" s="37">
        <f>電材表!L12</f>
        <v>26000</v>
      </c>
      <c r="AR89" s="37">
        <f>電材表!M12</f>
        <v>11070</v>
      </c>
      <c r="AS89" s="57">
        <f>電材表!N12</f>
        <v>0</v>
      </c>
      <c r="AT89" s="25" t="s">
        <v>2295</v>
      </c>
      <c r="AW89" s="108" t="s">
        <v>2311</v>
      </c>
      <c r="AX89" s="108">
        <v>1</v>
      </c>
      <c r="AY89" s="39" t="str">
        <f>機器表!EL24</f>
        <v>本</v>
      </c>
      <c r="AZ89" s="37">
        <f>機器表!EM24</f>
        <v>8470</v>
      </c>
      <c r="BA89" s="37">
        <f>機器表!EN24</f>
        <v>2090</v>
      </c>
      <c r="BB89" s="57">
        <f>機器表!EO24</f>
        <v>0.1</v>
      </c>
      <c r="BC89" s="108" t="s">
        <v>2280</v>
      </c>
      <c r="BF89" s="108" t="s">
        <v>2339</v>
      </c>
      <c r="BG89" s="108">
        <v>4</v>
      </c>
      <c r="BH89" s="108" t="s">
        <v>1824</v>
      </c>
      <c r="BI89" s="144">
        <f>管材表!ET12</f>
        <v>36100</v>
      </c>
      <c r="BJ89" s="144">
        <f>管材表!EU12</f>
        <v>28880</v>
      </c>
      <c r="BK89" s="145">
        <v>0.08</v>
      </c>
      <c r="BL89" s="108" t="s">
        <v>2304</v>
      </c>
    </row>
    <row r="90" spans="5:64">
      <c r="E90" s="146" t="str">
        <f>CONCATENATE("①",管材表!K9,"　",管材表!L9)</f>
        <v>①SGP鋼管(白)　65A</v>
      </c>
      <c r="F90" s="108">
        <v>12</v>
      </c>
      <c r="G90" s="146" t="str">
        <f>管材表!M9</f>
        <v>m</v>
      </c>
      <c r="H90" s="152">
        <f>管材表!N9</f>
        <v>13540</v>
      </c>
      <c r="I90" s="152">
        <f>管材表!O9</f>
        <v>7180</v>
      </c>
      <c r="J90" s="151">
        <f>管材表!P9</f>
        <v>0.37</v>
      </c>
      <c r="K90" s="108" t="s">
        <v>2304</v>
      </c>
      <c r="N90" s="108" t="s">
        <v>2340</v>
      </c>
      <c r="O90" s="108">
        <v>1</v>
      </c>
      <c r="P90" s="108" t="s">
        <v>2290</v>
      </c>
      <c r="Q90" s="148">
        <f>ROUND(項目表!$E$3*標準項!T90,-3)</f>
        <v>93000</v>
      </c>
      <c r="R90" s="148">
        <f>ROUND(項目表!$F$3*標準項!T90,-3)</f>
        <v>58000</v>
      </c>
      <c r="S90" s="145"/>
      <c r="T90" s="149">
        <v>1.96</v>
      </c>
      <c r="W90" s="108" t="s">
        <v>2289</v>
      </c>
      <c r="X90" s="108">
        <v>1</v>
      </c>
      <c r="Y90" s="108" t="s">
        <v>2290</v>
      </c>
      <c r="Z90" s="148">
        <f>ROUND(項目表!$E$3*標準項!AC90,-3)</f>
        <v>93000</v>
      </c>
      <c r="AA90" s="148">
        <f>ROUND(項目表!$F$3*標準項!AC90,-3)</f>
        <v>58000</v>
      </c>
      <c r="AB90" s="145"/>
      <c r="AC90" s="149">
        <v>1.96</v>
      </c>
      <c r="AE90" s="51" t="s">
        <v>2451</v>
      </c>
      <c r="AN90" s="25" t="s">
        <v>2524</v>
      </c>
      <c r="AO90" s="25">
        <v>1</v>
      </c>
      <c r="AP90" s="26" t="s">
        <v>49</v>
      </c>
      <c r="AQ90" s="111">
        <v>5200</v>
      </c>
      <c r="AR90" s="111">
        <v>1300</v>
      </c>
      <c r="AS90" s="117">
        <v>0</v>
      </c>
      <c r="AW90" s="108" t="s">
        <v>2316</v>
      </c>
      <c r="AX90" s="108">
        <v>1</v>
      </c>
      <c r="AY90" s="39" t="str">
        <f>機器表!EL36</f>
        <v>個</v>
      </c>
      <c r="AZ90" s="37">
        <f>機器表!EM36</f>
        <v>6490</v>
      </c>
      <c r="BA90" s="37">
        <f>機器表!EN36</f>
        <v>1360</v>
      </c>
      <c r="BB90" s="57">
        <f>機器表!EO36</f>
        <v>0.1</v>
      </c>
      <c r="BC90" s="108" t="s">
        <v>2280</v>
      </c>
      <c r="BF90" s="108" t="s">
        <v>2347</v>
      </c>
      <c r="BG90" s="108">
        <v>1</v>
      </c>
      <c r="BH90" s="108" t="s">
        <v>2299</v>
      </c>
      <c r="BI90" s="144">
        <v>12000</v>
      </c>
      <c r="BJ90" s="144">
        <v>8000</v>
      </c>
      <c r="BK90" s="145">
        <v>0</v>
      </c>
      <c r="BL90" s="108"/>
    </row>
    <row r="91" spans="5:64">
      <c r="E91" s="146" t="str">
        <f>CONCATENATE("①",管材表!K8,"　",管材表!L8)</f>
        <v>①SGP鋼管(白)　50A</v>
      </c>
      <c r="F91" s="108">
        <v>4</v>
      </c>
      <c r="G91" s="146" t="str">
        <f>管材表!M8</f>
        <v>m</v>
      </c>
      <c r="H91" s="152">
        <f>管材表!N8</f>
        <v>9480</v>
      </c>
      <c r="I91" s="152">
        <f>管材表!O8</f>
        <v>5020</v>
      </c>
      <c r="J91" s="151">
        <f>管材表!P8</f>
        <v>0.28999999999999998</v>
      </c>
      <c r="K91" s="108" t="s">
        <v>2304</v>
      </c>
      <c r="L91" s="108"/>
      <c r="N91" s="39" t="str">
        <f>CONCATENATE("③",電材表!Q18,"　",電材表!R18)</f>
        <v>③感震器　BES-100</v>
      </c>
      <c r="O91" s="108">
        <v>1</v>
      </c>
      <c r="P91" s="146" t="str">
        <f>電材表!S18</f>
        <v>個</v>
      </c>
      <c r="Q91" s="37">
        <f>電材表!T18</f>
        <v>20100</v>
      </c>
      <c r="R91" s="37">
        <f>電材表!U18</f>
        <v>5580</v>
      </c>
      <c r="S91" s="57">
        <f>電材表!V18</f>
        <v>0</v>
      </c>
      <c r="T91" s="25" t="s">
        <v>2295</v>
      </c>
      <c r="W91" s="39" t="str">
        <f>CONCATENATE("③",電材表!Q18,"　",電材表!R18)</f>
        <v>③感震器　BES-100</v>
      </c>
      <c r="X91" s="108">
        <v>1</v>
      </c>
      <c r="Y91" s="146" t="str">
        <f>電材表!S18</f>
        <v>個</v>
      </c>
      <c r="Z91" s="37">
        <f>電材表!T18</f>
        <v>20100</v>
      </c>
      <c r="AA91" s="37">
        <f>電材表!U18</f>
        <v>5580</v>
      </c>
      <c r="AB91" s="57">
        <f>電材表!V18</f>
        <v>0</v>
      </c>
      <c r="AC91" s="25" t="s">
        <v>2296</v>
      </c>
      <c r="AE91" s="108" t="s">
        <v>2556</v>
      </c>
      <c r="AF91" s="108">
        <v>2</v>
      </c>
      <c r="AG91" s="146" t="str">
        <f>機器表!ED13</f>
        <v xml:space="preserve">本 </v>
      </c>
      <c r="AH91" s="37">
        <f>機器表!EE13</f>
        <v>26200</v>
      </c>
      <c r="AI91" s="37">
        <f>機器表!EF13</f>
        <v>4780</v>
      </c>
      <c r="AJ91" s="151">
        <f>機器表!EG13</f>
        <v>0.1</v>
      </c>
      <c r="AK91" s="108" t="s">
        <v>2280</v>
      </c>
      <c r="AN91" s="25" t="s">
        <v>2557</v>
      </c>
      <c r="AO91" s="25">
        <v>1</v>
      </c>
      <c r="AP91" s="39" t="str">
        <f>電材表!S9</f>
        <v>台</v>
      </c>
      <c r="AQ91" s="37">
        <f>電材表!T9</f>
        <v>96000</v>
      </c>
      <c r="AR91" s="37">
        <f>電材表!U9</f>
        <v>62060</v>
      </c>
      <c r="AS91" s="57">
        <f>電材表!V9</f>
        <v>0</v>
      </c>
      <c r="AT91" s="25" t="s">
        <v>2295</v>
      </c>
      <c r="AW91" s="108" t="s">
        <v>2318</v>
      </c>
      <c r="AX91" s="108">
        <v>1</v>
      </c>
      <c r="AY91" s="108" t="s">
        <v>1824</v>
      </c>
      <c r="AZ91" s="144">
        <v>15000</v>
      </c>
      <c r="BA91" s="144">
        <v>10000</v>
      </c>
      <c r="BB91" s="145">
        <v>0</v>
      </c>
      <c r="BC91" s="108"/>
      <c r="BF91" s="108" t="s">
        <v>2320</v>
      </c>
      <c r="BG91" s="108">
        <v>1</v>
      </c>
      <c r="BH91" s="108" t="s">
        <v>2290</v>
      </c>
      <c r="BI91" s="148">
        <f>ROUND(項目表!E3*標準項!BL91,-3)</f>
        <v>146000</v>
      </c>
      <c r="BJ91" s="148">
        <f>ROUND(項目表!F3*標準項!BL91,-3)</f>
        <v>91000</v>
      </c>
      <c r="BK91" s="145"/>
      <c r="BL91" s="157">
        <v>3.08</v>
      </c>
    </row>
    <row r="92" spans="5:64">
      <c r="E92" s="146" t="str">
        <f>CONCATENATE("①",管材表!K7,"　",管材表!L7)</f>
        <v>①SGP鋼管(白)　40A</v>
      </c>
      <c r="F92" s="108">
        <v>8</v>
      </c>
      <c r="G92" s="146" t="str">
        <f>管材表!M7</f>
        <v>m</v>
      </c>
      <c r="H92" s="152">
        <f>管材表!N7</f>
        <v>6910</v>
      </c>
      <c r="I92" s="152">
        <f>管材表!O7</f>
        <v>3660</v>
      </c>
      <c r="J92" s="151">
        <f>管材表!P7</f>
        <v>0.23</v>
      </c>
      <c r="K92" s="108" t="s">
        <v>2304</v>
      </c>
      <c r="L92" s="108"/>
      <c r="N92" s="234" t="s">
        <v>2523</v>
      </c>
      <c r="O92" s="108">
        <v>1</v>
      </c>
      <c r="P92" s="39" t="str">
        <f>機器表!EL17</f>
        <v>ｾｯﾄ</v>
      </c>
      <c r="Q92" s="37">
        <f>機器表!EM17</f>
        <v>145000</v>
      </c>
      <c r="R92" s="37">
        <f>機器表!EN17</f>
        <v>52380</v>
      </c>
      <c r="S92" s="57">
        <f>機器表!EO17</f>
        <v>0.5</v>
      </c>
      <c r="T92" s="108" t="s">
        <v>2280</v>
      </c>
      <c r="W92" s="234" t="s">
        <v>2523</v>
      </c>
      <c r="X92" s="108">
        <v>1</v>
      </c>
      <c r="Y92" s="39" t="str">
        <f>機器表!EL17</f>
        <v>ｾｯﾄ</v>
      </c>
      <c r="Z92" s="37">
        <f>機器表!EM17</f>
        <v>145000</v>
      </c>
      <c r="AA92" s="37">
        <f>機器表!EN17</f>
        <v>52380</v>
      </c>
      <c r="AB92" s="57">
        <f>機器表!EO17</f>
        <v>0.5</v>
      </c>
      <c r="AC92" s="108" t="s">
        <v>2280</v>
      </c>
      <c r="AE92" s="108" t="s">
        <v>2558</v>
      </c>
      <c r="AF92" s="108">
        <v>1</v>
      </c>
      <c r="AG92" s="146" t="str">
        <f>機器表!ED15</f>
        <v xml:space="preserve">個 </v>
      </c>
      <c r="AH92" s="152">
        <f>機器表!EE15</f>
        <v>11300</v>
      </c>
      <c r="AI92" s="37">
        <f>機器表!EF15</f>
        <v>2710</v>
      </c>
      <c r="AJ92" s="151">
        <f>機器表!EG15</f>
        <v>0.2</v>
      </c>
      <c r="AK92" s="108" t="s">
        <v>2280</v>
      </c>
      <c r="AN92" s="25" t="s">
        <v>2476</v>
      </c>
      <c r="AO92" s="25">
        <v>1</v>
      </c>
      <c r="AP92" s="25" t="s">
        <v>49</v>
      </c>
      <c r="AQ92" s="28">
        <v>50000</v>
      </c>
      <c r="AR92" s="28">
        <v>35000</v>
      </c>
      <c r="AW92" s="108" t="s">
        <v>2327</v>
      </c>
      <c r="AX92" s="108">
        <v>1</v>
      </c>
      <c r="AY92" s="108" t="s">
        <v>2299</v>
      </c>
      <c r="AZ92" s="148">
        <f>ROUND(項目表!$E$3*BC92,-3)</f>
        <v>36000</v>
      </c>
      <c r="BA92" s="148">
        <f>ROUND(項目表!$F$3*標準項!BC92,-3)</f>
        <v>22000</v>
      </c>
      <c r="BB92" s="145"/>
      <c r="BC92" s="157">
        <v>0.75</v>
      </c>
      <c r="BF92" s="108" t="s">
        <v>2325</v>
      </c>
      <c r="BG92" s="108">
        <v>1</v>
      </c>
      <c r="BH92" s="108" t="s">
        <v>2299</v>
      </c>
      <c r="BI92" s="144">
        <v>15000</v>
      </c>
      <c r="BJ92" s="144">
        <v>10000</v>
      </c>
      <c r="BK92" s="145">
        <v>0</v>
      </c>
      <c r="BL92" s="108"/>
    </row>
    <row r="93" spans="5:64">
      <c r="E93" s="146" t="str">
        <f>CONCATENATE("①",管材表!K3,"　",管材表!L3)</f>
        <v>①SGP鋼管(白)　15A</v>
      </c>
      <c r="F93" s="108">
        <v>4</v>
      </c>
      <c r="G93" s="146" t="str">
        <f>管材表!M3</f>
        <v>m</v>
      </c>
      <c r="H93" s="152">
        <f>管材表!N3</f>
        <v>2650</v>
      </c>
      <c r="I93" s="152">
        <f>管材表!O3</f>
        <v>1410</v>
      </c>
      <c r="J93" s="151">
        <f>管材表!P3</f>
        <v>0.12</v>
      </c>
      <c r="K93" s="108" t="s">
        <v>2304</v>
      </c>
      <c r="L93" s="108"/>
      <c r="N93" s="108" t="s">
        <v>2312</v>
      </c>
      <c r="O93" s="108">
        <v>1</v>
      </c>
      <c r="P93" s="108" t="s">
        <v>2290</v>
      </c>
      <c r="Q93" s="150">
        <f>ROUND(項目表!$E$3*標準項!T93,-3)</f>
        <v>24000</v>
      </c>
      <c r="R93" s="150">
        <f>ROUND(項目表!$F$3*標準項!T93,-3)</f>
        <v>15000</v>
      </c>
      <c r="S93" s="145"/>
      <c r="T93" s="154">
        <f>S92</f>
        <v>0.5</v>
      </c>
      <c r="W93" s="108" t="s">
        <v>2308</v>
      </c>
      <c r="X93" s="108">
        <v>1</v>
      </c>
      <c r="Y93" s="108" t="s">
        <v>2290</v>
      </c>
      <c r="Z93" s="148">
        <f>ROUND(項目表!$E$3*標準項!AC93,-3)</f>
        <v>24000</v>
      </c>
      <c r="AA93" s="148">
        <f>ROUND(項目表!$F$3*標準項!AC93,-3)</f>
        <v>15000</v>
      </c>
      <c r="AB93" s="145"/>
      <c r="AC93" s="154">
        <f>AB92</f>
        <v>0.5</v>
      </c>
      <c r="AE93" s="108" t="s">
        <v>2559</v>
      </c>
      <c r="AF93" s="108">
        <v>1</v>
      </c>
      <c r="AG93" s="146" t="str">
        <f>機器表!ED19</f>
        <v xml:space="preserve">個 </v>
      </c>
      <c r="AH93" s="152">
        <f>機器表!EE19</f>
        <v>4530</v>
      </c>
      <c r="AI93" s="152">
        <f>機器表!EF19</f>
        <v>1250</v>
      </c>
      <c r="AJ93" s="151">
        <f>機器表!EG19</f>
        <v>0.1</v>
      </c>
      <c r="AK93" s="108"/>
      <c r="AN93" s="25" t="s">
        <v>2528</v>
      </c>
      <c r="AO93" s="25">
        <v>1</v>
      </c>
      <c r="AP93" s="25" t="s">
        <v>49</v>
      </c>
      <c r="AQ93" s="28">
        <v>30000</v>
      </c>
      <c r="AR93" s="28">
        <v>15000</v>
      </c>
      <c r="AW93" s="108" t="s">
        <v>2334</v>
      </c>
      <c r="AX93" s="108">
        <v>1</v>
      </c>
      <c r="AY93" s="108" t="s">
        <v>2299</v>
      </c>
      <c r="AZ93" s="144">
        <v>15000</v>
      </c>
      <c r="BA93" s="144">
        <v>10000</v>
      </c>
      <c r="BB93" s="145">
        <v>0</v>
      </c>
      <c r="BC93" s="108"/>
    </row>
    <row r="94" spans="5:64">
      <c r="E94" s="146" t="str">
        <f>CONCATENATE("①",管材表!BW4,"　",管材表!BX4)</f>
        <v>①ﾊﾞﾀﾌﾗｲ弁　65A(ｳｴﾊ)</v>
      </c>
      <c r="F94" s="108">
        <v>6</v>
      </c>
      <c r="G94" s="146" t="str">
        <f>管材表!BY4</f>
        <v>個</v>
      </c>
      <c r="H94" s="152">
        <f>管材表!BZ4</f>
        <v>28400</v>
      </c>
      <c r="I94" s="152">
        <f>管材表!CA4</f>
        <v>18460</v>
      </c>
      <c r="J94" s="151">
        <f>管材表!CB4</f>
        <v>0.19</v>
      </c>
      <c r="K94" s="108" t="s">
        <v>2304</v>
      </c>
      <c r="L94" s="108"/>
      <c r="N94" s="108" t="s">
        <v>2560</v>
      </c>
      <c r="O94" s="108">
        <v>1</v>
      </c>
      <c r="P94" s="39" t="str">
        <f>機器表!EL10</f>
        <v>ｾｯﾄ</v>
      </c>
      <c r="Q94" s="37">
        <f>機器表!EM10</f>
        <v>108400</v>
      </c>
      <c r="R94" s="37">
        <f>機器表!EN10</f>
        <v>37760</v>
      </c>
      <c r="S94" s="57">
        <f>機器表!EO10</f>
        <v>0.7</v>
      </c>
      <c r="T94" s="108" t="s">
        <v>2280</v>
      </c>
      <c r="W94" s="108" t="s">
        <v>2455</v>
      </c>
      <c r="X94" s="108">
        <v>1</v>
      </c>
      <c r="Y94" s="39" t="str">
        <f>機器表!EL10</f>
        <v>ｾｯﾄ</v>
      </c>
      <c r="Z94" s="37">
        <f>機器表!EM10</f>
        <v>108400</v>
      </c>
      <c r="AA94" s="37">
        <f>機器表!EN10</f>
        <v>37760</v>
      </c>
      <c r="AB94" s="57">
        <f>機器表!EO10</f>
        <v>0.7</v>
      </c>
      <c r="AC94" s="108" t="s">
        <v>2280</v>
      </c>
      <c r="AE94" s="108" t="s">
        <v>2561</v>
      </c>
      <c r="AF94" s="108">
        <v>1</v>
      </c>
      <c r="AG94" s="146" t="str">
        <f>機器表!ED17</f>
        <v>ｾｯﾄ</v>
      </c>
      <c r="AH94" s="152">
        <f>機器表!EE17</f>
        <v>4980</v>
      </c>
      <c r="AI94" s="152">
        <f>機器表!EF17</f>
        <v>1560</v>
      </c>
      <c r="AJ94" s="151">
        <f>機器表!EG17</f>
        <v>0.5</v>
      </c>
      <c r="AK94" s="108" t="s">
        <v>2280</v>
      </c>
      <c r="AN94" s="25" t="s">
        <v>2530</v>
      </c>
      <c r="AO94" s="25">
        <v>1</v>
      </c>
      <c r="AP94" s="25" t="s">
        <v>49</v>
      </c>
      <c r="AQ94" s="28">
        <v>52000</v>
      </c>
      <c r="AR94" s="28">
        <v>65000</v>
      </c>
      <c r="AW94" s="108" t="s">
        <v>2350</v>
      </c>
      <c r="AX94" s="108">
        <v>2</v>
      </c>
      <c r="AY94" s="39" t="str">
        <f>機器表!ET14</f>
        <v>本</v>
      </c>
      <c r="AZ94" s="37">
        <f>機器表!EU14</f>
        <v>18000</v>
      </c>
      <c r="BA94" s="37">
        <f>機器表!EV14</f>
        <v>8150</v>
      </c>
      <c r="BB94" s="57">
        <f>機器表!EW14</f>
        <v>0</v>
      </c>
      <c r="BC94" s="108" t="s">
        <v>2280</v>
      </c>
    </row>
    <row r="95" spans="5:64">
      <c r="E95" s="146" t="str">
        <f>CONCATENATE("①",管材表!BG7,"　",管材表!BH7)</f>
        <v>①ｹﾞｰﾄ弁　40A</v>
      </c>
      <c r="F95" s="108">
        <v>1</v>
      </c>
      <c r="G95" s="146" t="str">
        <f>管材表!BI7</f>
        <v>個</v>
      </c>
      <c r="H95" s="152">
        <f>管材表!BJ7</f>
        <v>26700</v>
      </c>
      <c r="I95" s="152">
        <f>管材表!BK7</f>
        <v>17360</v>
      </c>
      <c r="J95" s="151">
        <f>管材表!BL7</f>
        <v>0.16</v>
      </c>
      <c r="K95" s="108" t="s">
        <v>2304</v>
      </c>
      <c r="N95" s="108" t="s">
        <v>2562</v>
      </c>
      <c r="O95" s="108">
        <v>2</v>
      </c>
      <c r="P95" s="39" t="str">
        <f>機器表!EL27</f>
        <v>本</v>
      </c>
      <c r="Q95" s="37">
        <f>機器表!EM27</f>
        <v>12600</v>
      </c>
      <c r="R95" s="37">
        <f>機器表!EN27</f>
        <v>3340</v>
      </c>
      <c r="S95" s="57">
        <f>機器表!EO27</f>
        <v>0.1</v>
      </c>
      <c r="T95" s="108" t="s">
        <v>2280</v>
      </c>
      <c r="W95" s="108" t="s">
        <v>2459</v>
      </c>
      <c r="X95" s="108">
        <v>2</v>
      </c>
      <c r="Y95" s="39" t="str">
        <f>機器表!EL27</f>
        <v>本</v>
      </c>
      <c r="Z95" s="37">
        <f>機器表!EM27</f>
        <v>12600</v>
      </c>
      <c r="AA95" s="37">
        <f>機器表!EN27</f>
        <v>3340</v>
      </c>
      <c r="AB95" s="57">
        <f>機器表!EO27</f>
        <v>0.1</v>
      </c>
      <c r="AC95" s="108" t="s">
        <v>2280</v>
      </c>
      <c r="AE95" s="108" t="s">
        <v>2563</v>
      </c>
      <c r="AF95" s="108">
        <v>1</v>
      </c>
      <c r="AG95" s="146" t="str">
        <f>機器表!ED18</f>
        <v xml:space="preserve">式 </v>
      </c>
      <c r="AH95" s="152">
        <f>機器表!EE18</f>
        <v>25000</v>
      </c>
      <c r="AI95" s="152">
        <f>機器表!EF18</f>
        <v>10000</v>
      </c>
      <c r="AJ95" s="151">
        <f>機器表!EG18</f>
        <v>0.5</v>
      </c>
      <c r="AK95" s="108"/>
      <c r="AN95" s="25" t="s">
        <v>2532</v>
      </c>
      <c r="AO95" s="25">
        <v>1</v>
      </c>
      <c r="AP95" s="25" t="s">
        <v>49</v>
      </c>
      <c r="AQ95" s="28">
        <v>62000</v>
      </c>
      <c r="AR95" s="28">
        <v>52000</v>
      </c>
      <c r="AW95" s="108" t="s">
        <v>2564</v>
      </c>
      <c r="AX95" s="108">
        <v>1</v>
      </c>
      <c r="AY95" s="39" t="str">
        <f>機器表!ET56</f>
        <v>ｾｯﾄ</v>
      </c>
      <c r="AZ95" s="37">
        <f>機器表!EU56</f>
        <v>39500</v>
      </c>
      <c r="BA95" s="37">
        <f>機器表!EV56</f>
        <v>11160</v>
      </c>
      <c r="BB95" s="57">
        <f>機器表!EW56</f>
        <v>0</v>
      </c>
      <c r="BC95" s="108" t="s">
        <v>2280</v>
      </c>
    </row>
    <row r="96" spans="5:64">
      <c r="E96" s="146" t="str">
        <f>CONCATENATE("①",管材表!BG3,"　",管材表!BH3)</f>
        <v>①ｹﾞｰﾄ弁　15A</v>
      </c>
      <c r="F96" s="108">
        <v>2</v>
      </c>
      <c r="G96" s="146" t="str">
        <f>管材表!BI3</f>
        <v>個</v>
      </c>
      <c r="H96" s="152">
        <f>管材表!BJ3</f>
        <v>6510</v>
      </c>
      <c r="I96" s="152">
        <f>管材表!BK3</f>
        <v>4230</v>
      </c>
      <c r="J96" s="151">
        <f>管材表!BL3</f>
        <v>0.08</v>
      </c>
      <c r="K96" s="108" t="s">
        <v>2304</v>
      </c>
      <c r="N96" s="108" t="s">
        <v>2565</v>
      </c>
      <c r="O96" s="108">
        <v>1</v>
      </c>
      <c r="P96" s="39" t="str">
        <f>機器表!EL39</f>
        <v>個</v>
      </c>
      <c r="Q96" s="37">
        <f>機器表!EM39</f>
        <v>16000</v>
      </c>
      <c r="R96" s="37">
        <f>機器表!EN39</f>
        <v>2820</v>
      </c>
      <c r="S96" s="57">
        <f>機器表!EO39</f>
        <v>0.1</v>
      </c>
      <c r="T96" s="108" t="s">
        <v>2280</v>
      </c>
      <c r="W96" s="108" t="s">
        <v>2463</v>
      </c>
      <c r="X96" s="108">
        <v>1</v>
      </c>
      <c r="Y96" s="39" t="str">
        <f>機器表!EL39</f>
        <v>個</v>
      </c>
      <c r="Z96" s="37">
        <f>機器表!EM39</f>
        <v>16000</v>
      </c>
      <c r="AA96" s="37">
        <f>機器表!EN39</f>
        <v>2820</v>
      </c>
      <c r="AB96" s="57">
        <f>機器表!EO39</f>
        <v>0.1</v>
      </c>
      <c r="AC96" s="108" t="s">
        <v>2280</v>
      </c>
      <c r="AE96" s="209" t="s">
        <v>2566</v>
      </c>
      <c r="AF96" s="108">
        <v>1</v>
      </c>
      <c r="AG96" s="108" t="s">
        <v>2299</v>
      </c>
      <c r="AH96" s="144">
        <v>90000</v>
      </c>
      <c r="AI96" s="144">
        <v>60000</v>
      </c>
      <c r="AJ96" s="145"/>
      <c r="AK96" s="108">
        <v>2.4</v>
      </c>
      <c r="AN96" s="25" t="s">
        <v>2534</v>
      </c>
      <c r="AO96" s="25">
        <v>1</v>
      </c>
      <c r="AP96" s="25" t="s">
        <v>49</v>
      </c>
      <c r="AQ96" s="28">
        <v>62000</v>
      </c>
      <c r="AR96" s="28">
        <v>52000</v>
      </c>
      <c r="AW96" s="108" t="s">
        <v>2325</v>
      </c>
      <c r="AX96" s="108">
        <v>1</v>
      </c>
      <c r="AY96" s="108" t="s">
        <v>2299</v>
      </c>
      <c r="AZ96" s="73">
        <v>15000</v>
      </c>
      <c r="BA96" s="73">
        <v>7500</v>
      </c>
      <c r="BB96" s="145">
        <v>0</v>
      </c>
      <c r="BC96" s="108"/>
      <c r="BF96" s="51" t="s">
        <v>264</v>
      </c>
    </row>
    <row r="97" spans="5:64">
      <c r="E97" s="146" t="str">
        <f>CONCATENATE("①",管材表!BO11,"　",管材表!BP11)</f>
        <v>①ﾁｬｯｷ弁　65A(ｳｴﾊ)</v>
      </c>
      <c r="F97" s="108">
        <v>1</v>
      </c>
      <c r="G97" s="146" t="str">
        <f>管材表!BQ11</f>
        <v>個</v>
      </c>
      <c r="H97" s="152">
        <f>管材表!BR11</f>
        <v>125000</v>
      </c>
      <c r="I97" s="152">
        <f>管材表!BS11</f>
        <v>81250</v>
      </c>
      <c r="J97" s="151">
        <f>管材表!BT11</f>
        <v>0.32</v>
      </c>
      <c r="K97" s="108" t="s">
        <v>2304</v>
      </c>
      <c r="N97" s="108" t="s">
        <v>2318</v>
      </c>
      <c r="O97" s="108">
        <v>1</v>
      </c>
      <c r="P97" s="108" t="s">
        <v>1824</v>
      </c>
      <c r="Q97" s="148">
        <v>25000</v>
      </c>
      <c r="R97" s="144">
        <v>14000</v>
      </c>
      <c r="S97" s="145"/>
      <c r="T97" s="108"/>
      <c r="W97" s="108" t="s">
        <v>2331</v>
      </c>
      <c r="X97" s="108">
        <v>1</v>
      </c>
      <c r="Y97" s="108" t="s">
        <v>1824</v>
      </c>
      <c r="Z97" s="148">
        <v>25000</v>
      </c>
      <c r="AA97" s="144">
        <v>14000</v>
      </c>
      <c r="AB97" s="145"/>
      <c r="AC97" s="108"/>
      <c r="AN97" s="25" t="s">
        <v>2536</v>
      </c>
      <c r="AO97" s="25">
        <v>3</v>
      </c>
      <c r="AP97" s="25" t="s">
        <v>49</v>
      </c>
      <c r="AQ97" s="28">
        <v>52000</v>
      </c>
      <c r="AR97" s="28">
        <v>65000</v>
      </c>
      <c r="BF97" s="25" t="s">
        <v>2567</v>
      </c>
      <c r="BG97" s="25">
        <v>1</v>
      </c>
      <c r="BH97" s="39" t="str">
        <f>機器表!BB3</f>
        <v>台</v>
      </c>
      <c r="BI97" s="37">
        <f>機器表!BC3</f>
        <v>1845000</v>
      </c>
      <c r="BJ97" s="37">
        <f>機器表!BD3</f>
        <v>663790</v>
      </c>
      <c r="BK97" s="57">
        <f>機器表!BE3</f>
        <v>1.2</v>
      </c>
      <c r="BL97" s="25" t="s">
        <v>2333</v>
      </c>
    </row>
    <row r="98" spans="5:64">
      <c r="E98" s="146" t="str">
        <f>CONCATENATE("①",管材表!DC3,"　",管材表!DD3)</f>
        <v>①Yｽﾄﾚｰﾅ　15A</v>
      </c>
      <c r="F98" s="108">
        <v>1</v>
      </c>
      <c r="G98" s="146" t="str">
        <f>管材表!DE3</f>
        <v>個</v>
      </c>
      <c r="H98" s="152">
        <f>管材表!DF3</f>
        <v>6080</v>
      </c>
      <c r="I98" s="152">
        <f>管材表!DG3</f>
        <v>3950</v>
      </c>
      <c r="J98" s="151">
        <f>管材表!DH3</f>
        <v>0.08</v>
      </c>
      <c r="K98" s="108" t="s">
        <v>2304</v>
      </c>
      <c r="N98" s="25" t="s">
        <v>2568</v>
      </c>
      <c r="O98" s="108">
        <v>1</v>
      </c>
      <c r="P98" s="108" t="s">
        <v>2290</v>
      </c>
      <c r="Q98" s="148">
        <f>ROUND(項目表!$E$3*標準項!T98,-3)</f>
        <v>43000</v>
      </c>
      <c r="R98" s="148">
        <f>ROUND(項目表!$F$3*標準項!T98,-3)</f>
        <v>26000</v>
      </c>
      <c r="S98" s="145"/>
      <c r="T98" s="174">
        <v>0.9</v>
      </c>
      <c r="W98" s="25" t="s">
        <v>2323</v>
      </c>
      <c r="X98" s="108">
        <v>1</v>
      </c>
      <c r="Y98" s="108" t="s">
        <v>2290</v>
      </c>
      <c r="Z98" s="148">
        <f>ROUND(項目表!$E$3*標準項!AC98,-3)</f>
        <v>43000</v>
      </c>
      <c r="AA98" s="148">
        <f>ROUND(項目表!$F$3*標準項!AC98,-3)</f>
        <v>26000</v>
      </c>
      <c r="AB98" s="145"/>
      <c r="AC98" s="174">
        <v>0.9</v>
      </c>
      <c r="AN98" s="25" t="s">
        <v>2569</v>
      </c>
      <c r="AO98" s="25">
        <v>1</v>
      </c>
      <c r="AP98" s="25" t="s">
        <v>49</v>
      </c>
      <c r="AQ98" s="28">
        <v>6000</v>
      </c>
      <c r="AR98" s="28">
        <v>2000</v>
      </c>
      <c r="BF98" s="25" t="s">
        <v>2340</v>
      </c>
      <c r="BG98" s="25">
        <v>1</v>
      </c>
      <c r="BH98" s="25" t="s">
        <v>49</v>
      </c>
      <c r="BI98" s="73">
        <f>ROUND(項目表!E3*標準項!BL98,-3)</f>
        <v>57000</v>
      </c>
      <c r="BJ98" s="73">
        <f>ROUND(項目表!F3*標準項!BL98,-3)</f>
        <v>35000</v>
      </c>
      <c r="BL98" s="32">
        <v>1.2</v>
      </c>
    </row>
    <row r="99" spans="5:64">
      <c r="E99" s="186" t="s">
        <v>2430</v>
      </c>
      <c r="F99" s="186">
        <v>1</v>
      </c>
      <c r="G99" s="186" t="s">
        <v>991</v>
      </c>
      <c r="H99" s="184">
        <f>管材表!FB9</f>
        <v>15500</v>
      </c>
      <c r="I99" s="184">
        <f>管材表!FC9</f>
        <v>2920</v>
      </c>
      <c r="J99" s="189">
        <v>0.1</v>
      </c>
      <c r="K99" s="186" t="s">
        <v>2342</v>
      </c>
      <c r="N99" s="108" t="s">
        <v>2343</v>
      </c>
      <c r="O99" s="108">
        <v>1</v>
      </c>
      <c r="P99" s="108" t="s">
        <v>1268</v>
      </c>
      <c r="Q99" s="144">
        <v>35000</v>
      </c>
      <c r="R99" s="144">
        <v>18000</v>
      </c>
      <c r="S99" s="145">
        <v>0.1</v>
      </c>
      <c r="T99" s="108" t="s">
        <v>2280</v>
      </c>
      <c r="W99" s="108" t="s">
        <v>2343</v>
      </c>
      <c r="X99" s="108">
        <v>1</v>
      </c>
      <c r="Y99" s="108" t="s">
        <v>1268</v>
      </c>
      <c r="Z99" s="144">
        <v>35000</v>
      </c>
      <c r="AA99" s="144">
        <v>18000</v>
      </c>
      <c r="AB99" s="145">
        <v>0.1</v>
      </c>
      <c r="AC99" s="108" t="s">
        <v>2280</v>
      </c>
      <c r="AN99" s="25" t="s">
        <v>2570</v>
      </c>
      <c r="AO99" s="25">
        <v>1</v>
      </c>
      <c r="AP99" s="25" t="s">
        <v>49</v>
      </c>
      <c r="AQ99" s="28">
        <v>6000</v>
      </c>
      <c r="AR99" s="28">
        <v>2000</v>
      </c>
      <c r="AW99" s="51" t="s">
        <v>443</v>
      </c>
      <c r="BF99" s="39" t="str">
        <f>CONCATENATE("①",管材表!K5,"　",管材表!L5)</f>
        <v>①SGP鋼管(白)　25A</v>
      </c>
      <c r="BG99" s="25">
        <v>4</v>
      </c>
      <c r="BH99" s="39" t="str">
        <f>管材表!M5</f>
        <v>m</v>
      </c>
      <c r="BI99" s="37">
        <f>管材表!N5</f>
        <v>4540</v>
      </c>
      <c r="BJ99" s="37">
        <f>管材表!O5</f>
        <v>2400</v>
      </c>
      <c r="BK99" s="57">
        <f>管材表!P5</f>
        <v>0.17</v>
      </c>
      <c r="BL99" s="25" t="s">
        <v>2342</v>
      </c>
    </row>
    <row r="100" spans="5:64">
      <c r="E100" s="108" t="s">
        <v>2371</v>
      </c>
      <c r="F100" s="108">
        <v>1</v>
      </c>
      <c r="G100" s="108" t="s">
        <v>2299</v>
      </c>
      <c r="H100" s="144">
        <v>60000</v>
      </c>
      <c r="I100" s="144">
        <v>38000</v>
      </c>
      <c r="J100" s="145">
        <v>0</v>
      </c>
      <c r="K100" s="108"/>
      <c r="M100" s="108"/>
      <c r="N100" s="108" t="s">
        <v>2538</v>
      </c>
      <c r="O100" s="108">
        <v>1</v>
      </c>
      <c r="P100" s="39" t="str">
        <f>機器表!ET16</f>
        <v>本</v>
      </c>
      <c r="Q100" s="37">
        <f>機器表!EU16</f>
        <v>25100</v>
      </c>
      <c r="R100" s="37">
        <f>機器表!EV16</f>
        <v>12550</v>
      </c>
      <c r="S100" s="57">
        <f>機器表!EW16</f>
        <v>0</v>
      </c>
      <c r="T100" s="108" t="s">
        <v>2280</v>
      </c>
      <c r="W100" s="146" t="str">
        <f>CONCATENATE("○",機器表!ER19,"　",機器表!ES19)</f>
        <v>○ﾊﾟﾜｰﾀﾞｸﾄ　折幅550×200m(0.07)</v>
      </c>
      <c r="X100" s="108">
        <v>2</v>
      </c>
      <c r="Y100" s="39" t="str">
        <f>機器表!ET19</f>
        <v>本</v>
      </c>
      <c r="Z100" s="37">
        <f>機器表!EU19</f>
        <v>33500</v>
      </c>
      <c r="AA100" s="37">
        <f>機器表!EV19</f>
        <v>17200</v>
      </c>
      <c r="AB100" s="57">
        <f>機器表!EW19</f>
        <v>0</v>
      </c>
      <c r="AC100" s="108" t="s">
        <v>2280</v>
      </c>
      <c r="AN100" s="25" t="s">
        <v>2362</v>
      </c>
      <c r="AO100" s="25">
        <v>1</v>
      </c>
      <c r="AP100" s="25" t="s">
        <v>49</v>
      </c>
      <c r="AQ100" s="28">
        <v>25000</v>
      </c>
      <c r="AR100" s="28">
        <v>10000</v>
      </c>
      <c r="AW100" s="108" t="s">
        <v>2571</v>
      </c>
      <c r="AX100" s="108">
        <v>1</v>
      </c>
      <c r="AY100" s="39" t="str">
        <f>機器表!V7</f>
        <v>台</v>
      </c>
      <c r="AZ100" s="37">
        <f>機器表!W7</f>
        <v>665000</v>
      </c>
      <c r="BA100" s="37">
        <f>機器表!X7</f>
        <v>251450</v>
      </c>
      <c r="BB100" s="57">
        <f>機器表!Y7</f>
        <v>1</v>
      </c>
      <c r="BC100" s="108" t="s">
        <v>2333</v>
      </c>
      <c r="BF100" s="39" t="str">
        <f>CONCATENATE("①",管材表!BG5,"　",管材表!BH5)</f>
        <v>①ｹﾞｰﾄ弁　25A</v>
      </c>
      <c r="BG100" s="25">
        <v>2</v>
      </c>
      <c r="BH100" s="39" t="str">
        <f>管材表!BI5</f>
        <v>個</v>
      </c>
      <c r="BI100" s="37">
        <f>管材表!BJ5</f>
        <v>11900</v>
      </c>
      <c r="BJ100" s="37">
        <f>管材表!BK5</f>
        <v>7740</v>
      </c>
      <c r="BK100" s="57">
        <f>管材表!BL5</f>
        <v>0.12</v>
      </c>
      <c r="BL100" s="25" t="s">
        <v>2304</v>
      </c>
    </row>
    <row r="101" spans="5:64">
      <c r="E101" s="108" t="s">
        <v>2320</v>
      </c>
      <c r="F101" s="108">
        <v>1</v>
      </c>
      <c r="G101" s="108" t="s">
        <v>2290</v>
      </c>
      <c r="H101" s="148">
        <f>ROUND(項目表!$E$3*標準項!K101,-3)</f>
        <v>279000</v>
      </c>
      <c r="I101" s="148">
        <f>ROUND(項目表!$F$3*標準項!K101,-3)</f>
        <v>173000</v>
      </c>
      <c r="J101" s="145"/>
      <c r="K101" s="157">
        <v>5.87</v>
      </c>
      <c r="M101" s="108"/>
      <c r="N101" s="108" t="s">
        <v>2350</v>
      </c>
      <c r="O101" s="108">
        <v>5</v>
      </c>
      <c r="P101" s="39" t="str">
        <f>機器表!ET14</f>
        <v>本</v>
      </c>
      <c r="Q101" s="37">
        <f>機器表!EU14</f>
        <v>18000</v>
      </c>
      <c r="R101" s="37">
        <f>機器表!EV14</f>
        <v>8150</v>
      </c>
      <c r="S101" s="57">
        <f>機器表!EW14</f>
        <v>0</v>
      </c>
      <c r="T101" s="108" t="s">
        <v>2280</v>
      </c>
      <c r="W101" s="243" t="s">
        <v>2540</v>
      </c>
      <c r="X101" s="174">
        <v>2</v>
      </c>
      <c r="Y101" s="126" t="s">
        <v>991</v>
      </c>
      <c r="Z101" s="73">
        <v>6300</v>
      </c>
      <c r="AA101" s="73">
        <v>1000</v>
      </c>
      <c r="AE101" s="51" t="s">
        <v>2453</v>
      </c>
      <c r="AW101" s="108" t="s">
        <v>2340</v>
      </c>
      <c r="AX101" s="108">
        <v>1</v>
      </c>
      <c r="AY101" s="108" t="s">
        <v>2290</v>
      </c>
      <c r="AZ101" s="148">
        <f>ROUND(項目表!$E$3*標準項!BC101,-3)</f>
        <v>48000</v>
      </c>
      <c r="BA101" s="148">
        <f>ROUND(項目表!$F$3*標準項!BC101,-3)</f>
        <v>29000</v>
      </c>
      <c r="BB101" s="145"/>
      <c r="BC101" s="149">
        <v>1</v>
      </c>
      <c r="BF101" s="39" t="str">
        <f>CONCATENATE("①",管材表!DC5,"　",管材表!DD5)</f>
        <v>①Yｽﾄﾚｰﾅ　25A</v>
      </c>
      <c r="BG101" s="25">
        <v>1</v>
      </c>
      <c r="BH101" s="39" t="str">
        <f>管材表!DE5</f>
        <v>個</v>
      </c>
      <c r="BI101" s="37">
        <f>管材表!DF5</f>
        <v>12100</v>
      </c>
      <c r="BJ101" s="37">
        <f>管材表!DG5</f>
        <v>7870</v>
      </c>
      <c r="BK101" s="57">
        <f>管材表!DH5</f>
        <v>0.12</v>
      </c>
      <c r="BL101" s="25" t="s">
        <v>2342</v>
      </c>
    </row>
    <row r="102" spans="5:64">
      <c r="E102" s="108" t="s">
        <v>2572</v>
      </c>
      <c r="F102" s="108">
        <v>12</v>
      </c>
      <c r="G102" s="108" t="s">
        <v>1833</v>
      </c>
      <c r="H102" s="28">
        <v>3820</v>
      </c>
      <c r="I102" s="28">
        <v>2560</v>
      </c>
      <c r="J102" s="145">
        <v>0</v>
      </c>
      <c r="K102" s="108" t="s">
        <v>2304</v>
      </c>
      <c r="N102" s="108" t="s">
        <v>2573</v>
      </c>
      <c r="O102" s="108">
        <v>10</v>
      </c>
      <c r="P102" s="39" t="str">
        <f>機器表!ET51</f>
        <v>ｾｯﾄ</v>
      </c>
      <c r="Q102" s="37">
        <f>機器表!EU51</f>
        <v>3120</v>
      </c>
      <c r="R102" s="194">
        <f>機器表!EV51</f>
        <v>840</v>
      </c>
      <c r="S102" s="57">
        <f>機器表!EW51</f>
        <v>0</v>
      </c>
      <c r="T102" s="108" t="s">
        <v>2280</v>
      </c>
      <c r="W102" s="234" t="s">
        <v>2489</v>
      </c>
      <c r="X102" s="234">
        <v>1</v>
      </c>
      <c r="Y102" s="224" t="str">
        <f>機器表!EL58</f>
        <v>ｾｯﾄ</v>
      </c>
      <c r="Z102" s="227">
        <f>機器表!EM58</f>
        <v>12400</v>
      </c>
      <c r="AA102" s="227">
        <f>機器表!EN58</f>
        <v>5220</v>
      </c>
      <c r="AB102" s="235">
        <f>機器表!EO58</f>
        <v>0</v>
      </c>
      <c r="AC102" s="234" t="s">
        <v>2280</v>
      </c>
      <c r="AE102" s="108" t="s">
        <v>2574</v>
      </c>
      <c r="AF102" s="108">
        <v>2</v>
      </c>
      <c r="AG102" s="146" t="str">
        <f>機器表!ED13</f>
        <v xml:space="preserve">本 </v>
      </c>
      <c r="AH102" s="37">
        <f>機器表!EE13</f>
        <v>26200</v>
      </c>
      <c r="AI102" s="37">
        <f>機器表!EF13</f>
        <v>4780</v>
      </c>
      <c r="AJ102" s="151">
        <f>機器表!EG13</f>
        <v>0.1</v>
      </c>
      <c r="AK102" s="108" t="s">
        <v>2280</v>
      </c>
      <c r="AW102" s="39" t="str">
        <f>CONCATENATE("③",電材表!Q18,"　",電材表!R18)</f>
        <v>③感震器　BES-100</v>
      </c>
      <c r="AX102" s="108">
        <v>1</v>
      </c>
      <c r="AY102" s="146" t="str">
        <f>電材表!S18</f>
        <v>個</v>
      </c>
      <c r="AZ102" s="152">
        <f>電材表!T18</f>
        <v>20100</v>
      </c>
      <c r="BA102" s="152">
        <f>電材表!U18</f>
        <v>5580</v>
      </c>
      <c r="BB102" s="151">
        <f>電材表!V18</f>
        <v>0</v>
      </c>
      <c r="BC102" s="25" t="s">
        <v>2295</v>
      </c>
      <c r="BF102" s="25" t="s">
        <v>2368</v>
      </c>
      <c r="BG102" s="25">
        <v>2</v>
      </c>
      <c r="BH102" s="25" t="s">
        <v>81</v>
      </c>
      <c r="BI102" s="28">
        <f>管材表!DV5</f>
        <v>5700</v>
      </c>
      <c r="BJ102" s="28">
        <f>管材表!DW5</f>
        <v>2620</v>
      </c>
      <c r="BK102" s="29">
        <v>0.14000000000000001</v>
      </c>
      <c r="BL102" s="25" t="s">
        <v>2342</v>
      </c>
    </row>
    <row r="103" spans="5:64">
      <c r="E103" s="108" t="s">
        <v>2575</v>
      </c>
      <c r="F103" s="108">
        <v>4</v>
      </c>
      <c r="G103" s="108" t="s">
        <v>1833</v>
      </c>
      <c r="H103" s="28">
        <v>3530</v>
      </c>
      <c r="I103" s="28">
        <v>2370</v>
      </c>
      <c r="J103" s="145">
        <v>0</v>
      </c>
      <c r="K103" s="108" t="s">
        <v>2304</v>
      </c>
      <c r="M103" s="108"/>
      <c r="N103" s="234" t="s">
        <v>2489</v>
      </c>
      <c r="O103" s="234">
        <v>1</v>
      </c>
      <c r="P103" s="224" t="str">
        <f>機器表!EL58</f>
        <v>ｾｯﾄ</v>
      </c>
      <c r="Q103" s="227">
        <f>機器表!EM58</f>
        <v>12400</v>
      </c>
      <c r="R103" s="227">
        <f>機器表!EN58</f>
        <v>5220</v>
      </c>
      <c r="S103" s="235">
        <f>機器表!EO58</f>
        <v>0</v>
      </c>
      <c r="T103" s="234" t="s">
        <v>2280</v>
      </c>
      <c r="W103" s="108" t="s">
        <v>2325</v>
      </c>
      <c r="X103" s="108">
        <v>1</v>
      </c>
      <c r="Y103" s="108" t="s">
        <v>2299</v>
      </c>
      <c r="Z103" s="144">
        <v>20000</v>
      </c>
      <c r="AA103" s="144">
        <v>10000</v>
      </c>
      <c r="AB103" s="145"/>
      <c r="AC103" s="108"/>
      <c r="AE103" s="108" t="s">
        <v>2576</v>
      </c>
      <c r="AF103" s="108">
        <v>1</v>
      </c>
      <c r="AG103" s="146" t="str">
        <f>機器表!ED14</f>
        <v xml:space="preserve">基 </v>
      </c>
      <c r="AH103" s="165">
        <f>機器表!EE14</f>
        <v>85000</v>
      </c>
      <c r="AI103" s="165">
        <f>機器表!EF14</f>
        <v>43500</v>
      </c>
      <c r="AJ103" s="166">
        <f>機器表!EG14</f>
        <v>0.1</v>
      </c>
      <c r="AK103" s="108" t="s">
        <v>2280</v>
      </c>
      <c r="AN103" s="51" t="s">
        <v>2577</v>
      </c>
      <c r="AW103" s="25" t="s">
        <v>2434</v>
      </c>
      <c r="AX103" s="25">
        <v>1</v>
      </c>
      <c r="AY103" s="39" t="str">
        <f>機器表!EL6</f>
        <v>ｾｯﾄ</v>
      </c>
      <c r="AZ103" s="37">
        <f>機器表!EM6</f>
        <v>65700</v>
      </c>
      <c r="BA103" s="37">
        <f>機器表!EN6</f>
        <v>23160</v>
      </c>
      <c r="BB103" s="57">
        <f>機器表!EO6</f>
        <v>0.5</v>
      </c>
      <c r="BC103" s="25" t="s">
        <v>2280</v>
      </c>
      <c r="BF103" s="39" t="str">
        <f>CONCATENATE("①",管材表!DK12,"　",管材表!DL12)</f>
        <v>①電動ﾎﾞｰﾙ弁(3方)　25A</v>
      </c>
      <c r="BG103" s="25">
        <v>1</v>
      </c>
      <c r="BH103" s="39" t="str">
        <f>管材表!DM12</f>
        <v xml:space="preserve">個  </v>
      </c>
      <c r="BI103" s="37">
        <f>管材表!DN12</f>
        <v>44000</v>
      </c>
      <c r="BJ103" s="37">
        <f>管材表!DO12</f>
        <v>28600</v>
      </c>
      <c r="BK103" s="57">
        <f>管材表!DP12</f>
        <v>0.12</v>
      </c>
      <c r="BL103" s="25" t="s">
        <v>2342</v>
      </c>
    </row>
    <row r="104" spans="5:64">
      <c r="E104" s="108" t="s">
        <v>2525</v>
      </c>
      <c r="F104" s="108">
        <v>1</v>
      </c>
      <c r="G104" s="108" t="s">
        <v>2299</v>
      </c>
      <c r="H104" s="144">
        <v>10000</v>
      </c>
      <c r="I104" s="144">
        <v>6000</v>
      </c>
      <c r="J104" s="145"/>
      <c r="K104" s="108">
        <v>0.24</v>
      </c>
      <c r="M104" s="108"/>
      <c r="N104" s="108" t="s">
        <v>2578</v>
      </c>
      <c r="O104" s="108">
        <v>1</v>
      </c>
      <c r="P104" s="108" t="s">
        <v>2299</v>
      </c>
      <c r="Q104" s="144">
        <v>20000</v>
      </c>
      <c r="R104" s="144">
        <v>10000</v>
      </c>
      <c r="AE104" s="108" t="s">
        <v>2558</v>
      </c>
      <c r="AF104" s="108">
        <v>1</v>
      </c>
      <c r="AG104" s="167" t="str">
        <f>機器表!ED15</f>
        <v xml:space="preserve">個 </v>
      </c>
      <c r="AH104" s="152">
        <f>機器表!EE15</f>
        <v>11300</v>
      </c>
      <c r="AI104" s="152">
        <f>機器表!EF15</f>
        <v>2710</v>
      </c>
      <c r="AJ104" s="167">
        <f>機器表!EG15</f>
        <v>0.2</v>
      </c>
      <c r="AK104" s="108" t="s">
        <v>2280</v>
      </c>
      <c r="AN104" s="25" t="s">
        <v>2468</v>
      </c>
      <c r="AO104" s="25">
        <v>1</v>
      </c>
      <c r="AP104" s="39" t="str">
        <f>電材表!K39</f>
        <v>台</v>
      </c>
      <c r="AQ104" s="37">
        <f>電材表!L39</f>
        <v>406000</v>
      </c>
      <c r="AR104" s="37">
        <f>電材表!M39</f>
        <v>188780</v>
      </c>
      <c r="AS104" s="57">
        <f>電材表!N39</f>
        <v>0</v>
      </c>
      <c r="AT104" s="25" t="s">
        <v>2295</v>
      </c>
      <c r="AW104" s="108" t="s">
        <v>2311</v>
      </c>
      <c r="AX104" s="108">
        <v>1</v>
      </c>
      <c r="AY104" s="39" t="str">
        <f>機器表!EL24</f>
        <v>本</v>
      </c>
      <c r="AZ104" s="37">
        <f>機器表!EM24</f>
        <v>8470</v>
      </c>
      <c r="BA104" s="37">
        <f>機器表!EN24</f>
        <v>2090</v>
      </c>
      <c r="BB104" s="57">
        <f>機器表!EO24</f>
        <v>0.1</v>
      </c>
      <c r="BC104" s="108" t="s">
        <v>2280</v>
      </c>
      <c r="BF104" s="25" t="s">
        <v>2579</v>
      </c>
      <c r="BG104" s="25">
        <v>1</v>
      </c>
      <c r="BH104" s="25" t="s">
        <v>49</v>
      </c>
      <c r="BI104" s="28">
        <v>108000</v>
      </c>
      <c r="BJ104" s="28">
        <v>46000</v>
      </c>
    </row>
    <row r="105" spans="5:64">
      <c r="E105" s="108" t="s">
        <v>2325</v>
      </c>
      <c r="F105" s="108">
        <v>1</v>
      </c>
      <c r="G105" s="108" t="s">
        <v>2299</v>
      </c>
      <c r="H105" s="148">
        <v>25000</v>
      </c>
      <c r="I105" s="148">
        <v>15000</v>
      </c>
      <c r="J105" s="145">
        <v>0</v>
      </c>
      <c r="K105" s="108"/>
      <c r="M105" s="108"/>
      <c r="AE105" s="108" t="s">
        <v>2580</v>
      </c>
      <c r="AF105" s="108">
        <v>1</v>
      </c>
      <c r="AG105" s="152" t="str">
        <f>機器表!ED16</f>
        <v xml:space="preserve">個 </v>
      </c>
      <c r="AH105" s="152">
        <f>機器表!EE16</f>
        <v>63000</v>
      </c>
      <c r="AI105" s="152">
        <f>機器表!EF16</f>
        <v>25000</v>
      </c>
      <c r="AJ105" s="167">
        <f>機器表!EG16</f>
        <v>0.3</v>
      </c>
      <c r="AK105" s="108" t="s">
        <v>2280</v>
      </c>
      <c r="AN105" s="25" t="s">
        <v>2548</v>
      </c>
      <c r="AO105" s="25">
        <v>1</v>
      </c>
      <c r="AP105" s="39" t="str">
        <f>電材表!K40</f>
        <v>台</v>
      </c>
      <c r="AQ105" s="37">
        <f>電材表!L40</f>
        <v>134000</v>
      </c>
      <c r="AR105" s="37">
        <f>電材表!M40</f>
        <v>71530</v>
      </c>
      <c r="AS105" s="57">
        <f>電材表!N40</f>
        <v>0</v>
      </c>
      <c r="AT105" s="25" t="s">
        <v>2295</v>
      </c>
      <c r="AW105" s="108" t="s">
        <v>2316</v>
      </c>
      <c r="AX105" s="108">
        <v>1</v>
      </c>
      <c r="AY105" s="39" t="str">
        <f>機器表!EL36</f>
        <v>個</v>
      </c>
      <c r="AZ105" s="37">
        <f>機器表!EM36</f>
        <v>6490</v>
      </c>
      <c r="BA105" s="37">
        <f>機器表!EN36</f>
        <v>1360</v>
      </c>
      <c r="BB105" s="57">
        <f>機器表!EO36</f>
        <v>0.1</v>
      </c>
      <c r="BC105" s="108" t="s">
        <v>2280</v>
      </c>
      <c r="BF105" s="25" t="s">
        <v>2581</v>
      </c>
      <c r="BG105" s="25">
        <v>1</v>
      </c>
      <c r="BH105" s="25" t="s">
        <v>77</v>
      </c>
      <c r="BI105" s="28">
        <f>管材表!ET11</f>
        <v>30600</v>
      </c>
      <c r="BJ105" s="28">
        <f>管材表!EU11</f>
        <v>24480</v>
      </c>
      <c r="BK105" s="29">
        <v>0.08</v>
      </c>
      <c r="BL105" s="25" t="s">
        <v>2342</v>
      </c>
    </row>
    <row r="106" spans="5:64">
      <c r="M106" s="108"/>
      <c r="AE106" s="108" t="s">
        <v>2559</v>
      </c>
      <c r="AF106" s="108">
        <v>1</v>
      </c>
      <c r="AG106" s="152" t="str">
        <f>機器表!ED19</f>
        <v xml:space="preserve">個 </v>
      </c>
      <c r="AH106" s="152">
        <f>機器表!EE19</f>
        <v>4530</v>
      </c>
      <c r="AI106" s="152">
        <f>機器表!EF19</f>
        <v>1250</v>
      </c>
      <c r="AJ106" s="167">
        <f>機器表!EG19</f>
        <v>0.1</v>
      </c>
      <c r="AK106" s="108"/>
      <c r="AN106" s="25" t="s">
        <v>2550</v>
      </c>
      <c r="AO106" s="25">
        <v>1</v>
      </c>
      <c r="AP106" s="39" t="str">
        <f>電材表!K8</f>
        <v>個</v>
      </c>
      <c r="AQ106" s="37">
        <f>電材表!L8</f>
        <v>56500</v>
      </c>
      <c r="AR106" s="37">
        <f>電材表!M8</f>
        <v>18370</v>
      </c>
      <c r="AS106" s="57">
        <f>電材表!N8</f>
        <v>0</v>
      </c>
      <c r="AT106" s="25" t="s">
        <v>2295</v>
      </c>
      <c r="AW106" s="108" t="s">
        <v>2318</v>
      </c>
      <c r="AX106" s="108">
        <v>1</v>
      </c>
      <c r="AY106" s="108" t="s">
        <v>1824</v>
      </c>
      <c r="AZ106" s="144">
        <v>15000</v>
      </c>
      <c r="BA106" s="144">
        <v>10000</v>
      </c>
      <c r="BB106" s="145">
        <v>0</v>
      </c>
      <c r="BC106" s="108"/>
      <c r="BF106" s="39" t="str">
        <f>CONCATENATE("①",管材表!BG3,"　",管材表!BH3)</f>
        <v>①ｹﾞｰﾄ弁　15A</v>
      </c>
      <c r="BG106" s="25">
        <v>1</v>
      </c>
      <c r="BH106" s="39" t="str">
        <f>管材表!BI3</f>
        <v>個</v>
      </c>
      <c r="BI106" s="37">
        <f>管材表!BJ3</f>
        <v>6510</v>
      </c>
      <c r="BJ106" s="37">
        <f>管材表!BK3</f>
        <v>4230</v>
      </c>
      <c r="BK106" s="57">
        <f>管材表!BL3</f>
        <v>0.08</v>
      </c>
      <c r="BL106" s="25" t="s">
        <v>2342</v>
      </c>
    </row>
    <row r="107" spans="5:64">
      <c r="M107" s="108"/>
      <c r="N107" s="51" t="s">
        <v>931</v>
      </c>
      <c r="AE107" s="108" t="s">
        <v>2582</v>
      </c>
      <c r="AF107" s="108">
        <v>1</v>
      </c>
      <c r="AG107" s="146" t="str">
        <f>機器表!ED17</f>
        <v>ｾｯﾄ</v>
      </c>
      <c r="AH107" s="152">
        <f>機器表!EE17</f>
        <v>4980</v>
      </c>
      <c r="AI107" s="152">
        <f>機器表!EF17</f>
        <v>1560</v>
      </c>
      <c r="AJ107" s="151">
        <f>機器表!EG17</f>
        <v>0.5</v>
      </c>
      <c r="AK107" s="108" t="s">
        <v>2280</v>
      </c>
      <c r="AN107" s="126" t="s">
        <v>2583</v>
      </c>
      <c r="AO107" s="126">
        <v>1</v>
      </c>
      <c r="AP107" s="126" t="s">
        <v>947</v>
      </c>
      <c r="AQ107" s="73">
        <f>電材表!L10</f>
        <v>27300</v>
      </c>
      <c r="AR107" s="73">
        <f>電材表!M10</f>
        <v>11300</v>
      </c>
      <c r="AS107" s="173">
        <f>電材表!N10</f>
        <v>0</v>
      </c>
      <c r="AT107" s="25" t="s">
        <v>2295</v>
      </c>
      <c r="AW107" s="108" t="s">
        <v>2327</v>
      </c>
      <c r="AX107" s="108">
        <v>1</v>
      </c>
      <c r="AY107" s="108" t="s">
        <v>2299</v>
      </c>
      <c r="AZ107" s="148">
        <f>ROUND(項目表!$E$3*BC107,-3)</f>
        <v>36000</v>
      </c>
      <c r="BA107" s="148">
        <f>ROUND(項目表!$F$3*標準項!BC107,-3)</f>
        <v>22000</v>
      </c>
      <c r="BB107" s="145"/>
      <c r="BC107" s="157">
        <v>0.75</v>
      </c>
      <c r="BF107" s="25" t="s">
        <v>2371</v>
      </c>
      <c r="BG107" s="25">
        <v>1</v>
      </c>
      <c r="BH107" s="25" t="s">
        <v>49</v>
      </c>
      <c r="BI107" s="28">
        <v>18000</v>
      </c>
      <c r="BJ107" s="28">
        <v>12000</v>
      </c>
    </row>
    <row r="108" spans="5:64">
      <c r="M108" s="108"/>
      <c r="N108" s="224" t="s">
        <v>2584</v>
      </c>
      <c r="O108" s="25">
        <v>1</v>
      </c>
      <c r="P108" s="39" t="str">
        <f>機器表!N22</f>
        <v>台</v>
      </c>
      <c r="Q108" s="37">
        <f>機器表!O22</f>
        <v>2623000</v>
      </c>
      <c r="R108" s="37">
        <f>機器表!P22</f>
        <v>1068730</v>
      </c>
      <c r="S108" s="57">
        <f>機器表!Q22</f>
        <v>2.8</v>
      </c>
      <c r="T108" s="25" t="s">
        <v>2333</v>
      </c>
      <c r="AE108" s="108" t="s">
        <v>2563</v>
      </c>
      <c r="AF108" s="108">
        <v>1</v>
      </c>
      <c r="AG108" s="146" t="str">
        <f>機器表!ED18</f>
        <v xml:space="preserve">式 </v>
      </c>
      <c r="AH108" s="152">
        <f>機器表!EE18</f>
        <v>25000</v>
      </c>
      <c r="AI108" s="152">
        <f>機器表!EF18</f>
        <v>10000</v>
      </c>
      <c r="AJ108" s="167">
        <f>機器表!EG18</f>
        <v>0.5</v>
      </c>
      <c r="AK108" s="108" t="s">
        <v>2280</v>
      </c>
      <c r="AN108" s="39" t="str">
        <f>CONCATENATE("○",電材表!I11,"　",電材表!J11)</f>
        <v>○CO2ｾﾝｻｰ　CGS-14</v>
      </c>
      <c r="AO108" s="25">
        <v>1</v>
      </c>
      <c r="AP108" s="39" t="str">
        <f>電材表!K11</f>
        <v>個</v>
      </c>
      <c r="AQ108" s="37">
        <f>電材表!L11</f>
        <v>66800</v>
      </c>
      <c r="AR108" s="37">
        <f>電材表!M11</f>
        <v>27430</v>
      </c>
      <c r="AS108" s="57">
        <f>電材表!N11</f>
        <v>0</v>
      </c>
      <c r="AT108" s="25" t="s">
        <v>2295</v>
      </c>
      <c r="AW108" s="108" t="s">
        <v>2334</v>
      </c>
      <c r="AX108" s="108">
        <v>1</v>
      </c>
      <c r="AY108" s="108" t="s">
        <v>2299</v>
      </c>
      <c r="AZ108" s="144">
        <v>15000</v>
      </c>
      <c r="BA108" s="144">
        <v>10000</v>
      </c>
      <c r="BB108" s="145">
        <v>0</v>
      </c>
      <c r="BC108" s="108"/>
      <c r="BF108" s="25" t="s">
        <v>2382</v>
      </c>
      <c r="BG108" s="25">
        <v>1</v>
      </c>
      <c r="BH108" s="25" t="s">
        <v>49</v>
      </c>
      <c r="BI108" s="28">
        <v>12000</v>
      </c>
      <c r="BJ108" s="28">
        <v>8000</v>
      </c>
    </row>
    <row r="109" spans="5:64">
      <c r="E109" s="51" t="s">
        <v>591</v>
      </c>
      <c r="M109" s="108"/>
      <c r="N109" s="25" t="s">
        <v>2340</v>
      </c>
      <c r="O109" s="25">
        <v>1</v>
      </c>
      <c r="P109" s="25" t="s">
        <v>49</v>
      </c>
      <c r="Q109" s="73">
        <f>ROUND(項目表!$E$3*標準項!T109,-3)</f>
        <v>110000</v>
      </c>
      <c r="R109" s="73">
        <f>ROUND(項目表!$F$3*標準項!T109,-3)</f>
        <v>68000</v>
      </c>
      <c r="T109" s="95">
        <v>2.3199999999999998</v>
      </c>
      <c r="AE109" s="209" t="s">
        <v>2566</v>
      </c>
      <c r="AF109" s="108">
        <v>1</v>
      </c>
      <c r="AG109" s="108" t="s">
        <v>2299</v>
      </c>
      <c r="AH109" s="144">
        <v>120000</v>
      </c>
      <c r="AI109" s="144">
        <v>80000</v>
      </c>
      <c r="AJ109" s="145"/>
      <c r="AK109" s="108">
        <v>3.2</v>
      </c>
      <c r="AN109" s="25" t="s">
        <v>2555</v>
      </c>
      <c r="AO109" s="25">
        <v>1</v>
      </c>
      <c r="AP109" s="39" t="str">
        <f>電材表!K12</f>
        <v>個</v>
      </c>
      <c r="AQ109" s="37">
        <f>電材表!L12</f>
        <v>26000</v>
      </c>
      <c r="AR109" s="37">
        <f>電材表!M12</f>
        <v>11070</v>
      </c>
      <c r="AS109" s="57">
        <f>電材表!N12</f>
        <v>0</v>
      </c>
      <c r="AT109" s="25" t="s">
        <v>2295</v>
      </c>
      <c r="AW109" s="108" t="s">
        <v>2350</v>
      </c>
      <c r="AX109" s="108">
        <v>2</v>
      </c>
      <c r="AY109" s="39" t="str">
        <f>機器表!ET14</f>
        <v>本</v>
      </c>
      <c r="AZ109" s="37">
        <f>機器表!EU14</f>
        <v>18000</v>
      </c>
      <c r="BA109" s="37">
        <f>機器表!EV14</f>
        <v>8150</v>
      </c>
      <c r="BB109" s="57">
        <f>機器表!EW14</f>
        <v>0</v>
      </c>
      <c r="BC109" s="108" t="s">
        <v>2280</v>
      </c>
      <c r="BF109" s="25" t="s">
        <v>2384</v>
      </c>
      <c r="BG109" s="25">
        <v>1</v>
      </c>
      <c r="BH109" s="25" t="s">
        <v>49</v>
      </c>
      <c r="BI109" s="73">
        <f>ROUND(項目表!E3*標準項!BL109,-3)</f>
        <v>76000</v>
      </c>
      <c r="BJ109" s="73">
        <f>ROUND(項目表!F3*標準項!BL109,-3)</f>
        <v>47000</v>
      </c>
      <c r="BL109" s="77">
        <v>1.6</v>
      </c>
    </row>
    <row r="110" spans="5:64">
      <c r="E110" s="146" t="str">
        <f>CONCATENATE("○",機器表!AB11,"　",機器表!AC11)</f>
        <v>○ﾊｳｽﾎﾞｲﾗ　HB-2007TA</v>
      </c>
      <c r="F110" s="108">
        <v>1</v>
      </c>
      <c r="G110" s="147" t="str">
        <f>機器表!AD11</f>
        <v>台</v>
      </c>
      <c r="H110" s="36">
        <f>機器表!AE11</f>
        <v>2735000</v>
      </c>
      <c r="I110" s="36">
        <f>機器表!AF11</f>
        <v>975890</v>
      </c>
      <c r="J110" s="56">
        <f>機器表!AG11</f>
        <v>2.75</v>
      </c>
      <c r="K110" s="108" t="s">
        <v>2280</v>
      </c>
      <c r="M110" s="108"/>
      <c r="N110" s="39" t="str">
        <f>CONCATENATE("③",電材表!Q18,"　",電材表!R18)</f>
        <v>③感震器　BES-100</v>
      </c>
      <c r="O110" s="25">
        <v>1</v>
      </c>
      <c r="P110" s="39" t="str">
        <f>電材表!S18</f>
        <v>個</v>
      </c>
      <c r="Q110" s="37">
        <f>電材表!T18</f>
        <v>20100</v>
      </c>
      <c r="R110" s="37">
        <f>電材表!U18</f>
        <v>5580</v>
      </c>
      <c r="S110" s="57"/>
      <c r="T110" s="25" t="s">
        <v>2296</v>
      </c>
      <c r="AE110" s="108" t="s">
        <v>2585</v>
      </c>
      <c r="AF110" s="108">
        <v>1</v>
      </c>
      <c r="AG110" s="108" t="s">
        <v>2299</v>
      </c>
      <c r="AH110" s="144">
        <v>30000</v>
      </c>
      <c r="AI110" s="144">
        <v>20000</v>
      </c>
      <c r="AJ110" s="145"/>
      <c r="AK110" s="108">
        <v>0.8</v>
      </c>
      <c r="AN110" s="25" t="s">
        <v>2524</v>
      </c>
      <c r="AO110" s="25">
        <v>1</v>
      </c>
      <c r="AP110" s="26" t="s">
        <v>49</v>
      </c>
      <c r="AQ110" s="43">
        <v>4800</v>
      </c>
      <c r="AR110" s="43">
        <v>1200</v>
      </c>
      <c r="AS110" s="117">
        <v>0</v>
      </c>
      <c r="AW110" s="108" t="s">
        <v>2586</v>
      </c>
      <c r="AX110" s="108">
        <v>1</v>
      </c>
      <c r="AY110" s="39" t="str">
        <f>機器表!ET56</f>
        <v>ｾｯﾄ</v>
      </c>
      <c r="AZ110" s="37">
        <f>機器表!EU56</f>
        <v>39500</v>
      </c>
      <c r="BA110" s="37">
        <f>機器表!EV56</f>
        <v>11160</v>
      </c>
      <c r="BB110" s="57">
        <f>機器表!EW56</f>
        <v>0</v>
      </c>
      <c r="BC110" s="108" t="s">
        <v>2280</v>
      </c>
      <c r="BF110" s="25" t="s">
        <v>2578</v>
      </c>
      <c r="BG110" s="25">
        <v>1</v>
      </c>
      <c r="BH110" s="25" t="s">
        <v>49</v>
      </c>
      <c r="BI110" s="73">
        <v>20000</v>
      </c>
      <c r="BJ110" s="73">
        <v>10000</v>
      </c>
    </row>
    <row r="111" spans="5:64">
      <c r="E111" s="108" t="s">
        <v>2289</v>
      </c>
      <c r="F111" s="108">
        <v>1</v>
      </c>
      <c r="G111" s="108" t="s">
        <v>2290</v>
      </c>
      <c r="H111" s="148">
        <f>ROUND(項目表!$E$3*標準項!K111,-3)</f>
        <v>110000</v>
      </c>
      <c r="I111" s="148">
        <f>ROUND(項目表!$F$3*標準項!K111,-3)</f>
        <v>68000</v>
      </c>
      <c r="J111" s="145"/>
      <c r="K111" s="149">
        <v>2.31</v>
      </c>
      <c r="M111" s="108"/>
      <c r="N111" s="224" t="s">
        <v>2587</v>
      </c>
      <c r="O111" s="25">
        <v>1</v>
      </c>
      <c r="P111" s="39" t="str">
        <f>機器表!EL18</f>
        <v>ｾｯﾄ</v>
      </c>
      <c r="Q111" s="37">
        <f>機器表!EM18</f>
        <v>147000</v>
      </c>
      <c r="R111" s="37">
        <f>機器表!EN18</f>
        <v>63990</v>
      </c>
      <c r="S111" s="57">
        <f>機器表!EO18</f>
        <v>0.7</v>
      </c>
      <c r="T111" s="25" t="s">
        <v>2280</v>
      </c>
      <c r="AE111" s="108" t="s">
        <v>2588</v>
      </c>
      <c r="AF111" s="108">
        <v>1</v>
      </c>
      <c r="AG111" s="108" t="s">
        <v>2299</v>
      </c>
      <c r="AH111" s="144">
        <v>60000</v>
      </c>
      <c r="AI111" s="144">
        <v>40000</v>
      </c>
      <c r="AJ111" s="145"/>
      <c r="AK111" s="108">
        <v>1.6</v>
      </c>
      <c r="AN111" s="25" t="s">
        <v>2589</v>
      </c>
      <c r="AO111" s="25">
        <v>1</v>
      </c>
      <c r="AP111" s="39" t="str">
        <f>電材表!K5</f>
        <v>面</v>
      </c>
      <c r="AQ111" s="37">
        <f>電材表!L5</f>
        <v>618000</v>
      </c>
      <c r="AR111" s="37">
        <f>電材表!M5</f>
        <v>200360</v>
      </c>
      <c r="AS111" s="57">
        <f>電材表!N5</f>
        <v>0</v>
      </c>
      <c r="AT111" s="25" t="s">
        <v>2295</v>
      </c>
      <c r="AW111" s="108" t="s">
        <v>2578</v>
      </c>
      <c r="AX111" s="108">
        <v>1</v>
      </c>
      <c r="AY111" s="108" t="s">
        <v>2299</v>
      </c>
      <c r="AZ111" s="73">
        <v>15000</v>
      </c>
      <c r="BA111" s="73">
        <v>7500</v>
      </c>
      <c r="BB111" s="145">
        <v>0</v>
      </c>
      <c r="BC111" s="108"/>
    </row>
    <row r="112" spans="5:64">
      <c r="E112" s="39" t="str">
        <f>CONCATENATE("③",電材表!Q18,"　",電材表!R18)</f>
        <v>③感震器　BES-100</v>
      </c>
      <c r="F112" s="108">
        <v>1</v>
      </c>
      <c r="G112" s="146" t="str">
        <f>電材表!S18</f>
        <v>個</v>
      </c>
      <c r="H112" s="37">
        <f>電材表!T18</f>
        <v>20100</v>
      </c>
      <c r="I112" s="37">
        <f>電材表!U18</f>
        <v>5580</v>
      </c>
      <c r="J112" s="57">
        <f>電材表!V18</f>
        <v>0</v>
      </c>
      <c r="K112" s="25" t="s">
        <v>2295</v>
      </c>
      <c r="M112" s="108"/>
      <c r="N112" s="25" t="s">
        <v>2312</v>
      </c>
      <c r="O112" s="25">
        <v>1</v>
      </c>
      <c r="P112" s="25" t="s">
        <v>49</v>
      </c>
      <c r="Q112" s="74">
        <f>ROUND(項目表!$E$3*標準項!T112,-3)</f>
        <v>33000</v>
      </c>
      <c r="R112" s="74">
        <f>ROUND(項目表!$F$3*標準項!T112,-3)</f>
        <v>21000</v>
      </c>
      <c r="T112" s="75">
        <f>S111</f>
        <v>0.7</v>
      </c>
      <c r="AE112" s="108" t="s">
        <v>2578</v>
      </c>
      <c r="AF112" s="108">
        <v>1</v>
      </c>
      <c r="AG112" s="108" t="s">
        <v>2299</v>
      </c>
      <c r="AH112" s="144">
        <v>15000</v>
      </c>
      <c r="AI112" s="144">
        <v>10000</v>
      </c>
      <c r="AJ112" s="145">
        <v>0</v>
      </c>
      <c r="AK112" s="108"/>
      <c r="AN112" s="25" t="s">
        <v>2590</v>
      </c>
      <c r="AO112" s="25">
        <v>1</v>
      </c>
      <c r="AP112" s="25" t="s">
        <v>49</v>
      </c>
      <c r="AQ112" s="28">
        <v>60000</v>
      </c>
      <c r="AR112" s="28">
        <v>35000</v>
      </c>
    </row>
    <row r="113" spans="5:73">
      <c r="E113" s="146" t="str">
        <f>CONCATENATE("○",機器表!EJ50,"　",機器表!EK50)</f>
        <v>○煙道延長ｾｯﾄ　BEA-BF-900</v>
      </c>
      <c r="F113" s="108">
        <v>1</v>
      </c>
      <c r="G113" s="39" t="str">
        <f>機器表!EL50</f>
        <v>ｾｯﾄ</v>
      </c>
      <c r="H113" s="37">
        <f>機器表!EM50</f>
        <v>130200</v>
      </c>
      <c r="I113" s="37">
        <f>機器表!EN50</f>
        <v>28900</v>
      </c>
      <c r="J113" s="57">
        <f>機器表!EO50</f>
        <v>0.4</v>
      </c>
      <c r="K113" s="108" t="s">
        <v>2280</v>
      </c>
      <c r="M113" s="108"/>
      <c r="N113" s="25" t="s">
        <v>2560</v>
      </c>
      <c r="O113" s="25">
        <v>1</v>
      </c>
      <c r="P113" s="39" t="str">
        <f>機器表!EL10</f>
        <v>ｾｯﾄ</v>
      </c>
      <c r="Q113" s="37">
        <f>機器表!EM10</f>
        <v>108400</v>
      </c>
      <c r="R113" s="37">
        <f>機器表!EN10</f>
        <v>37760</v>
      </c>
      <c r="S113" s="57">
        <f>機器表!EO10</f>
        <v>0.7</v>
      </c>
      <c r="T113" s="25" t="s">
        <v>2280</v>
      </c>
      <c r="AN113" s="25" t="s">
        <v>2591</v>
      </c>
      <c r="AO113" s="25">
        <v>1</v>
      </c>
      <c r="AP113" s="25" t="s">
        <v>49</v>
      </c>
      <c r="AQ113" s="28">
        <v>30000</v>
      </c>
      <c r="AR113" s="28">
        <v>15000</v>
      </c>
    </row>
    <row r="114" spans="5:73">
      <c r="E114" s="108" t="s">
        <v>2592</v>
      </c>
      <c r="F114" s="108">
        <v>1</v>
      </c>
      <c r="G114" s="108" t="s">
        <v>2593</v>
      </c>
      <c r="H114" s="144">
        <v>184400</v>
      </c>
      <c r="I114" s="144">
        <v>83000</v>
      </c>
      <c r="J114" s="145">
        <v>1.5</v>
      </c>
      <c r="K114" s="108" t="s">
        <v>2280</v>
      </c>
      <c r="M114" s="108"/>
      <c r="N114" s="25" t="s">
        <v>2562</v>
      </c>
      <c r="O114" s="25">
        <v>2</v>
      </c>
      <c r="P114" s="39" t="str">
        <f>機器表!EL27</f>
        <v>本</v>
      </c>
      <c r="Q114" s="37">
        <f>機器表!EM27</f>
        <v>12600</v>
      </c>
      <c r="R114" s="37">
        <f>機器表!EN27</f>
        <v>3340</v>
      </c>
      <c r="S114" s="57">
        <f>機器表!EO27</f>
        <v>0.1</v>
      </c>
      <c r="T114" s="25" t="s">
        <v>2280</v>
      </c>
      <c r="AN114" s="25" t="s">
        <v>2594</v>
      </c>
      <c r="AO114" s="25">
        <v>1</v>
      </c>
      <c r="AP114" s="25" t="s">
        <v>49</v>
      </c>
      <c r="AQ114" s="28">
        <v>100000</v>
      </c>
      <c r="AR114" s="28">
        <v>50000</v>
      </c>
      <c r="AW114" s="108"/>
      <c r="AX114" s="108"/>
      <c r="AY114" s="108"/>
      <c r="AZ114" s="144"/>
      <c r="BA114" s="144"/>
      <c r="BB114" s="145"/>
      <c r="BC114" s="108"/>
      <c r="BF114" s="51" t="s">
        <v>327</v>
      </c>
    </row>
    <row r="115" spans="5:73">
      <c r="E115" s="108" t="s">
        <v>2318</v>
      </c>
      <c r="F115" s="108">
        <v>1</v>
      </c>
      <c r="G115" s="108" t="s">
        <v>2299</v>
      </c>
      <c r="H115" s="144">
        <v>18000</v>
      </c>
      <c r="I115" s="144">
        <v>10000</v>
      </c>
      <c r="J115" s="145"/>
      <c r="K115" s="108">
        <v>0.48</v>
      </c>
      <c r="M115" s="108"/>
      <c r="N115" s="25" t="s">
        <v>2565</v>
      </c>
      <c r="O115" s="25">
        <v>1</v>
      </c>
      <c r="P115" s="39" t="str">
        <f>機器表!EL39</f>
        <v>個</v>
      </c>
      <c r="Q115" s="37">
        <f>機器表!EM39</f>
        <v>16000</v>
      </c>
      <c r="R115" s="37">
        <f>機器表!EN39</f>
        <v>2820</v>
      </c>
      <c r="S115" s="57">
        <f>機器表!EO39</f>
        <v>0.1</v>
      </c>
      <c r="T115" s="25" t="s">
        <v>2280</v>
      </c>
      <c r="AN115" s="25" t="s">
        <v>2362</v>
      </c>
      <c r="AO115" s="25">
        <v>1</v>
      </c>
      <c r="AP115" s="25" t="s">
        <v>49</v>
      </c>
      <c r="AQ115" s="28">
        <v>30000</v>
      </c>
      <c r="AR115" s="28">
        <v>10000</v>
      </c>
      <c r="AW115" s="143" t="s">
        <v>2595</v>
      </c>
      <c r="AX115" s="108"/>
      <c r="AY115" s="108"/>
      <c r="AZ115" s="144"/>
      <c r="BA115" s="144"/>
      <c r="BB115" s="145"/>
      <c r="BC115" s="108"/>
      <c r="BF115" s="25" t="s">
        <v>2596</v>
      </c>
      <c r="BG115" s="25">
        <v>1</v>
      </c>
      <c r="BH115" s="39" t="str">
        <f>機器表!BB4</f>
        <v>台</v>
      </c>
      <c r="BI115" s="37">
        <f>機器表!BC4</f>
        <v>1915000</v>
      </c>
      <c r="BJ115" s="37">
        <f>機器表!BD4</f>
        <v>710880</v>
      </c>
      <c r="BK115" s="57">
        <f>機器表!BE4</f>
        <v>1.4</v>
      </c>
      <c r="BL115" s="25" t="s">
        <v>2333</v>
      </c>
    </row>
    <row r="116" spans="5:73">
      <c r="E116" s="108" t="s">
        <v>2323</v>
      </c>
      <c r="F116" s="108">
        <v>1</v>
      </c>
      <c r="G116" s="108" t="s">
        <v>2290</v>
      </c>
      <c r="H116" s="148">
        <f>ROUND(項目表!$E$3*標準項!K116,-3)</f>
        <v>90000</v>
      </c>
      <c r="I116" s="148">
        <f>ROUND(項目表!$F$3*標準項!K116,-3)</f>
        <v>56000</v>
      </c>
      <c r="J116" s="145">
        <v>0</v>
      </c>
      <c r="K116" s="157">
        <v>1.9</v>
      </c>
      <c r="M116" s="108"/>
      <c r="N116" s="25" t="s">
        <v>2597</v>
      </c>
      <c r="O116" s="25">
        <v>1</v>
      </c>
      <c r="P116" s="25" t="s">
        <v>77</v>
      </c>
      <c r="Q116" s="148">
        <v>25000</v>
      </c>
      <c r="R116" s="144">
        <v>14000</v>
      </c>
      <c r="AN116" s="25" t="s">
        <v>2598</v>
      </c>
      <c r="AO116" s="25">
        <v>1</v>
      </c>
      <c r="AP116" s="25" t="s">
        <v>73</v>
      </c>
      <c r="AQ116" s="28">
        <v>10000</v>
      </c>
      <c r="AR116" s="28">
        <v>3000</v>
      </c>
      <c r="AW116" s="146" t="str">
        <f>CONCATENATE("○",機器表!AZ10,"　",機器表!BA10)</f>
        <v>○ﾈﾎﾟﾝﾌｧﾝ　FAN-400T</v>
      </c>
      <c r="AX116" s="108">
        <v>8</v>
      </c>
      <c r="AY116" s="146" t="str">
        <f>機器表!BB10</f>
        <v>台</v>
      </c>
      <c r="AZ116" s="152">
        <f>機器表!BC10</f>
        <v>55000</v>
      </c>
      <c r="BA116" s="152">
        <f>機器表!BD10</f>
        <v>26720</v>
      </c>
      <c r="BB116" s="151">
        <f>機器表!BE10</f>
        <v>0.2</v>
      </c>
      <c r="BC116" s="108" t="s">
        <v>2333</v>
      </c>
      <c r="BF116" s="25" t="s">
        <v>2340</v>
      </c>
      <c r="BG116" s="25">
        <v>1</v>
      </c>
      <c r="BH116" s="25" t="s">
        <v>49</v>
      </c>
      <c r="BI116" s="73">
        <f>ROUND(項目表!E3*標準項!BL116,-3)</f>
        <v>67000</v>
      </c>
      <c r="BJ116" s="73">
        <f>ROUND(項目表!F3*標準項!BL116,-3)</f>
        <v>41000</v>
      </c>
      <c r="BL116" s="32">
        <v>1.4</v>
      </c>
    </row>
    <row r="117" spans="5:73">
      <c r="E117" s="108" t="s">
        <v>2551</v>
      </c>
      <c r="F117" s="108">
        <v>1</v>
      </c>
      <c r="G117" s="108" t="s">
        <v>2299</v>
      </c>
      <c r="H117" s="144">
        <v>46500</v>
      </c>
      <c r="I117" s="144">
        <v>33000</v>
      </c>
      <c r="J117" s="145"/>
      <c r="K117" s="108"/>
      <c r="M117" s="108"/>
      <c r="N117" s="25" t="s">
        <v>2568</v>
      </c>
      <c r="O117" s="25">
        <v>1</v>
      </c>
      <c r="P117" s="25" t="s">
        <v>49</v>
      </c>
      <c r="Q117" s="73">
        <f>ROUND(項目表!$E$3*標準項!T117,-3)</f>
        <v>43000</v>
      </c>
      <c r="R117" s="73">
        <f>ROUND(項目表!$F$3*標準項!T117,-3)</f>
        <v>26000</v>
      </c>
      <c r="T117" s="126">
        <v>0.9</v>
      </c>
      <c r="AE117" s="51" t="s">
        <v>2599</v>
      </c>
      <c r="AW117" s="108" t="s">
        <v>2312</v>
      </c>
      <c r="AX117" s="108">
        <v>1</v>
      </c>
      <c r="AY117" s="108" t="s">
        <v>49</v>
      </c>
      <c r="AZ117" s="148">
        <f>ROUND(項目表!$E$3*標準項!BC117,-3)</f>
        <v>75000</v>
      </c>
      <c r="BA117" s="148">
        <f>ROUND(項目表!$F$3*標準項!BC117,-3)</f>
        <v>46000</v>
      </c>
      <c r="BB117" s="145"/>
      <c r="BC117" s="157">
        <v>1.57</v>
      </c>
      <c r="BF117" s="39" t="str">
        <f>CONCATENATE("①",管材表!K5,"　",管材表!L5)</f>
        <v>①SGP鋼管(白)　25A</v>
      </c>
      <c r="BG117" s="25">
        <v>4</v>
      </c>
      <c r="BH117" s="39" t="str">
        <f>管材表!M5</f>
        <v>m</v>
      </c>
      <c r="BI117" s="37">
        <f>管材表!N5</f>
        <v>4540</v>
      </c>
      <c r="BJ117" s="37">
        <f>管材表!O5</f>
        <v>2400</v>
      </c>
      <c r="BK117" s="57">
        <f>管材表!P5</f>
        <v>0.17</v>
      </c>
      <c r="BL117" s="25" t="s">
        <v>2342</v>
      </c>
    </row>
    <row r="118" spans="5:73">
      <c r="E118" s="146" t="str">
        <f>CONCATENATE("○",機器表!CV17,"　",機器表!CW17)</f>
        <v>○ﾗｲﾝﾎﾟﾝﾌﾟ　50Hz φ50 1.5kW</v>
      </c>
      <c r="F118" s="174">
        <v>1</v>
      </c>
      <c r="G118" s="146" t="str">
        <f>機器表!CX17</f>
        <v>台</v>
      </c>
      <c r="H118" s="152">
        <f>機器表!CY17</f>
        <v>291000</v>
      </c>
      <c r="I118" s="152">
        <f>機器表!CZ17</f>
        <v>154230</v>
      </c>
      <c r="J118" s="163">
        <f>機器表!DA17</f>
        <v>0.7</v>
      </c>
      <c r="K118" s="108" t="s">
        <v>2280</v>
      </c>
      <c r="M118" s="108"/>
      <c r="N118" s="25" t="s">
        <v>2485</v>
      </c>
      <c r="O118" s="25">
        <v>1</v>
      </c>
      <c r="P118" s="25" t="s">
        <v>53</v>
      </c>
      <c r="Q118" s="28">
        <v>35000</v>
      </c>
      <c r="R118" s="28">
        <v>18000</v>
      </c>
      <c r="S118" s="29">
        <v>0.1</v>
      </c>
      <c r="T118" s="25" t="s">
        <v>2280</v>
      </c>
      <c r="AE118" s="146" t="str">
        <f>CONCATENATE("①",管材表!AA5,"　",管材表!AB5)</f>
        <v>①外面被覆鋼管　25A</v>
      </c>
      <c r="AF118" s="108">
        <v>16</v>
      </c>
      <c r="AG118" s="146" t="str">
        <f>管材表!AC5</f>
        <v>m</v>
      </c>
      <c r="AH118" s="152">
        <f>管材表!AD5</f>
        <v>3680</v>
      </c>
      <c r="AI118" s="152">
        <f>管材表!AE5</f>
        <v>2760</v>
      </c>
      <c r="AJ118" s="151">
        <f>管材表!AF5</f>
        <v>0.17</v>
      </c>
      <c r="AK118" s="108" t="s">
        <v>2304</v>
      </c>
      <c r="AW118" s="146" t="str">
        <f>CONCATENATE("○",電材表!Q21,"　",電材表!R21)</f>
        <v>○ﾈﾎﾟﾝﾀｲﾏBOX　TMB-200-11</v>
      </c>
      <c r="AX118" s="108">
        <v>1</v>
      </c>
      <c r="AY118" s="146" t="str">
        <f>電材表!S21</f>
        <v>面</v>
      </c>
      <c r="AZ118" s="152">
        <f>電材表!T21</f>
        <v>63800</v>
      </c>
      <c r="BA118" s="152">
        <f>電材表!U21</f>
        <v>11730</v>
      </c>
      <c r="BB118" s="145"/>
      <c r="BC118" s="108" t="s">
        <v>2295</v>
      </c>
      <c r="BF118" s="39" t="str">
        <f>CONCATENATE("①",管材表!BG5,"　",管材表!BH5)</f>
        <v>①ｹﾞｰﾄ弁　25A</v>
      </c>
      <c r="BG118" s="25">
        <v>2</v>
      </c>
      <c r="BH118" s="39" t="str">
        <f>管材表!BI5</f>
        <v>個</v>
      </c>
      <c r="BI118" s="37">
        <f>管材表!BJ5</f>
        <v>11900</v>
      </c>
      <c r="BJ118" s="37">
        <f>管材表!BK5</f>
        <v>7740</v>
      </c>
      <c r="BK118" s="57">
        <f>管材表!BL5</f>
        <v>0.12</v>
      </c>
      <c r="BL118" s="25" t="s">
        <v>2304</v>
      </c>
    </row>
    <row r="119" spans="5:73">
      <c r="E119" s="108" t="s">
        <v>2308</v>
      </c>
      <c r="F119" s="108">
        <v>1</v>
      </c>
      <c r="G119" s="108" t="s">
        <v>2290</v>
      </c>
      <c r="H119" s="148">
        <f>ROUND(項目表!$E$3*標準項!K119,-3)</f>
        <v>33000</v>
      </c>
      <c r="I119" s="148">
        <f>ROUND(項目表!$F$3*標準項!K119,-3)</f>
        <v>21000</v>
      </c>
      <c r="J119" s="145"/>
      <c r="K119" s="158">
        <v>0.7</v>
      </c>
      <c r="M119" s="108"/>
      <c r="N119" s="25" t="s">
        <v>2538</v>
      </c>
      <c r="O119" s="25">
        <v>1</v>
      </c>
      <c r="P119" s="39" t="str">
        <f>機器表!ET16</f>
        <v>本</v>
      </c>
      <c r="Q119" s="37">
        <f>機器表!EU16</f>
        <v>25100</v>
      </c>
      <c r="R119" s="37">
        <f>機器表!EV16</f>
        <v>12550</v>
      </c>
      <c r="S119" s="57">
        <f>機器表!EW16</f>
        <v>0</v>
      </c>
      <c r="T119" s="25" t="s">
        <v>2280</v>
      </c>
      <c r="AE119" s="146" t="str">
        <f>CONCATENATE("①",管材表!CM5,"　",管材表!CN5)</f>
        <v>①ﾏﾚｰﾌﾞﾙ弁　25A</v>
      </c>
      <c r="AF119" s="108">
        <v>1</v>
      </c>
      <c r="AG119" s="146" t="str">
        <f>管材表!CO5</f>
        <v>個</v>
      </c>
      <c r="AH119" s="152">
        <f>管材表!CP5</f>
        <v>17500</v>
      </c>
      <c r="AI119" s="152">
        <f>管材表!CQ5</f>
        <v>11380</v>
      </c>
      <c r="AJ119" s="151">
        <f>管材表!CR5</f>
        <v>0.12</v>
      </c>
      <c r="AK119" s="108" t="s">
        <v>2304</v>
      </c>
      <c r="BF119" s="39" t="str">
        <f>CONCATENATE("①",管材表!DC5,"　",管材表!DD5)</f>
        <v>①Yｽﾄﾚｰﾅ　25A</v>
      </c>
      <c r="BG119" s="25">
        <v>1</v>
      </c>
      <c r="BH119" s="39" t="str">
        <f>管材表!DE5</f>
        <v>個</v>
      </c>
      <c r="BI119" s="37">
        <f>管材表!DF5</f>
        <v>12100</v>
      </c>
      <c r="BJ119" s="37">
        <f>管材表!DG5</f>
        <v>7870</v>
      </c>
      <c r="BK119" s="57">
        <f>管材表!DH5</f>
        <v>0.12</v>
      </c>
      <c r="BL119" s="25" t="s">
        <v>2342</v>
      </c>
      <c r="BO119" s="108"/>
      <c r="BP119" s="108"/>
      <c r="BQ119" s="25"/>
      <c r="BT119" s="29"/>
      <c r="BU119" s="108"/>
    </row>
    <row r="120" spans="5:73">
      <c r="E120" s="146" t="str">
        <f>CONCATENATE("①",管材表!K9,"　",管材表!L9)</f>
        <v>①SGP鋼管(白)　65A</v>
      </c>
      <c r="F120" s="108">
        <v>12</v>
      </c>
      <c r="G120" s="146" t="str">
        <f>管材表!M9</f>
        <v>m</v>
      </c>
      <c r="H120" s="152">
        <f>管材表!N9</f>
        <v>13540</v>
      </c>
      <c r="I120" s="152">
        <f>管材表!O9</f>
        <v>7180</v>
      </c>
      <c r="J120" s="151">
        <f>管材表!P9</f>
        <v>0.37</v>
      </c>
      <c r="K120" s="108" t="s">
        <v>2304</v>
      </c>
      <c r="M120" s="108"/>
      <c r="N120" s="25" t="s">
        <v>2350</v>
      </c>
      <c r="O120" s="25">
        <v>5</v>
      </c>
      <c r="P120" s="39" t="str">
        <f>機器表!ET14</f>
        <v>本</v>
      </c>
      <c r="Q120" s="37">
        <f>機器表!EU14</f>
        <v>18000</v>
      </c>
      <c r="R120" s="37">
        <f>機器表!EV14</f>
        <v>8150</v>
      </c>
      <c r="S120" s="57">
        <f>機器表!EW14</f>
        <v>0</v>
      </c>
      <c r="T120" s="25" t="s">
        <v>2280</v>
      </c>
      <c r="AE120" s="108" t="s">
        <v>2347</v>
      </c>
      <c r="AF120" s="108">
        <v>1</v>
      </c>
      <c r="AG120" s="108" t="s">
        <v>2299</v>
      </c>
      <c r="AH120" s="144">
        <v>6000</v>
      </c>
      <c r="AI120" s="144">
        <v>4000</v>
      </c>
      <c r="AJ120" s="145">
        <v>0</v>
      </c>
      <c r="AK120" s="108"/>
      <c r="BF120" s="25" t="s">
        <v>2368</v>
      </c>
      <c r="BG120" s="25">
        <v>2</v>
      </c>
      <c r="BH120" s="25" t="s">
        <v>81</v>
      </c>
      <c r="BI120" s="28">
        <f>管材表!DV5</f>
        <v>5700</v>
      </c>
      <c r="BJ120" s="28">
        <f>管材表!DW5</f>
        <v>2620</v>
      </c>
      <c r="BK120" s="29">
        <v>0.14000000000000001</v>
      </c>
      <c r="BL120" s="25" t="s">
        <v>2342</v>
      </c>
      <c r="BO120" s="108"/>
      <c r="BP120" s="108"/>
      <c r="BQ120" s="25"/>
      <c r="BT120" s="29"/>
      <c r="BU120" s="108"/>
    </row>
    <row r="121" spans="5:73">
      <c r="E121" s="146" t="str">
        <f>CONCATENATE("①",管材表!K8,"　",管材表!L8)</f>
        <v>①SGP鋼管(白)　50A</v>
      </c>
      <c r="F121" s="108">
        <v>4</v>
      </c>
      <c r="G121" s="146" t="str">
        <f>管材表!M8</f>
        <v>m</v>
      </c>
      <c r="H121" s="152">
        <f>管材表!N8</f>
        <v>9480</v>
      </c>
      <c r="I121" s="152">
        <f>管材表!O8</f>
        <v>5020</v>
      </c>
      <c r="J121" s="151">
        <f>管材表!P8</f>
        <v>0.28999999999999998</v>
      </c>
      <c r="K121" s="108" t="s">
        <v>2304</v>
      </c>
      <c r="M121" s="108"/>
      <c r="N121" s="126" t="s">
        <v>2600</v>
      </c>
      <c r="O121" s="126">
        <v>1</v>
      </c>
      <c r="P121" s="126" t="str">
        <f>機器表!ET43</f>
        <v>個</v>
      </c>
      <c r="Q121" s="126">
        <f>機器表!EU43</f>
        <v>26100</v>
      </c>
      <c r="R121" s="126">
        <f>機器表!EV43</f>
        <v>12500</v>
      </c>
      <c r="S121" s="173">
        <f>機器表!EW43</f>
        <v>0</v>
      </c>
      <c r="T121" s="25" t="s">
        <v>2280</v>
      </c>
      <c r="AE121" s="108" t="s">
        <v>2320</v>
      </c>
      <c r="AF121" s="108">
        <v>1</v>
      </c>
      <c r="AG121" s="108" t="s">
        <v>2290</v>
      </c>
      <c r="AH121" s="148">
        <f>ROUND(項目表!$E$3*標準項!AK121,-3)</f>
        <v>117000</v>
      </c>
      <c r="AI121" s="148">
        <f>ROUND(項目表!$F$3*標準項!AK121,-3)</f>
        <v>73000</v>
      </c>
      <c r="AJ121" s="145"/>
      <c r="AK121" s="174">
        <v>2.4700000000000002</v>
      </c>
      <c r="BF121" s="39" t="str">
        <f>CONCATENATE("①",管材表!DK12,"　",管材表!DL12)</f>
        <v>①電動ﾎﾞｰﾙ弁(3方)　25A</v>
      </c>
      <c r="BG121" s="25">
        <v>1</v>
      </c>
      <c r="BH121" s="39" t="str">
        <f>管材表!DM12</f>
        <v xml:space="preserve">個  </v>
      </c>
      <c r="BI121" s="37">
        <f>管材表!DN12</f>
        <v>44000</v>
      </c>
      <c r="BJ121" s="37">
        <f>管材表!DO5</f>
        <v>22820</v>
      </c>
      <c r="BK121" s="57">
        <f>管材表!DP12</f>
        <v>0.12</v>
      </c>
      <c r="BL121" s="25" t="s">
        <v>2342</v>
      </c>
      <c r="BO121" s="108"/>
      <c r="BP121" s="108"/>
      <c r="BQ121" s="25"/>
      <c r="BT121" s="29"/>
      <c r="BU121" s="108"/>
    </row>
    <row r="122" spans="5:73">
      <c r="E122" s="146" t="str">
        <f>CONCATENATE("①",管材表!K7,"　",管材表!L7)</f>
        <v>①SGP鋼管(白)　40A</v>
      </c>
      <c r="F122" s="108">
        <v>8</v>
      </c>
      <c r="G122" s="146" t="str">
        <f>管材表!M7</f>
        <v>m</v>
      </c>
      <c r="H122" s="152">
        <f>管材表!N7</f>
        <v>6910</v>
      </c>
      <c r="I122" s="152">
        <f>管材表!O7</f>
        <v>3660</v>
      </c>
      <c r="J122" s="151">
        <f>管材表!P7</f>
        <v>0.23</v>
      </c>
      <c r="K122" s="108" t="s">
        <v>2304</v>
      </c>
      <c r="M122" s="108"/>
      <c r="N122" s="25" t="s">
        <v>2573</v>
      </c>
      <c r="O122" s="25">
        <v>11</v>
      </c>
      <c r="P122" s="39" t="str">
        <f>機器表!ET51</f>
        <v>ｾｯﾄ</v>
      </c>
      <c r="Q122" s="37">
        <f>機器表!EU51</f>
        <v>3120</v>
      </c>
      <c r="R122" s="194">
        <f>機器表!EV51</f>
        <v>840</v>
      </c>
      <c r="S122" s="57">
        <f>機器表!EW51</f>
        <v>0</v>
      </c>
      <c r="T122" s="25" t="s">
        <v>2280</v>
      </c>
      <c r="AE122" s="108" t="s">
        <v>2601</v>
      </c>
      <c r="AF122" s="108">
        <v>12</v>
      </c>
      <c r="AG122" s="108" t="s">
        <v>1833</v>
      </c>
      <c r="AH122" s="144">
        <v>4500</v>
      </c>
      <c r="AI122" s="144">
        <v>2800</v>
      </c>
      <c r="AJ122" s="145">
        <v>0</v>
      </c>
      <c r="AK122" s="108">
        <v>0.1</v>
      </c>
      <c r="AW122" s="143" t="s">
        <v>2602</v>
      </c>
      <c r="AX122" s="108"/>
      <c r="AY122" s="108"/>
      <c r="AZ122" s="144"/>
      <c r="BA122" s="144"/>
      <c r="BB122" s="145"/>
      <c r="BC122" s="108"/>
      <c r="BF122" s="25" t="s">
        <v>2579</v>
      </c>
      <c r="BG122" s="25">
        <v>1</v>
      </c>
      <c r="BH122" s="25" t="s">
        <v>49</v>
      </c>
      <c r="BI122" s="28">
        <v>108000</v>
      </c>
      <c r="BJ122" s="28">
        <v>46000</v>
      </c>
    </row>
    <row r="123" spans="5:73">
      <c r="E123" s="146" t="str">
        <f>CONCATENATE("①",管材表!K3,"　",管材表!L3)</f>
        <v>①SGP鋼管(白)　15A</v>
      </c>
      <c r="F123" s="108">
        <v>4</v>
      </c>
      <c r="G123" s="146" t="str">
        <f>管材表!M3</f>
        <v>m</v>
      </c>
      <c r="H123" s="152">
        <f>管材表!N3</f>
        <v>2650</v>
      </c>
      <c r="I123" s="152">
        <f>管材表!O3</f>
        <v>1410</v>
      </c>
      <c r="J123" s="151">
        <f>管材表!P3</f>
        <v>0.12</v>
      </c>
      <c r="K123" s="108" t="s">
        <v>2304</v>
      </c>
      <c r="M123" s="108"/>
      <c r="N123" s="234" t="s">
        <v>2361</v>
      </c>
      <c r="O123" s="234">
        <v>1</v>
      </c>
      <c r="P123" s="224" t="str">
        <f>機器表!EL58</f>
        <v>ｾｯﾄ</v>
      </c>
      <c r="Q123" s="227">
        <f>機器表!EM58</f>
        <v>12400</v>
      </c>
      <c r="R123" s="227">
        <f>機器表!EN58</f>
        <v>5220</v>
      </c>
      <c r="S123" s="235">
        <f>機器表!EO58</f>
        <v>0</v>
      </c>
      <c r="T123" s="234" t="s">
        <v>2280</v>
      </c>
      <c r="AE123" s="108" t="s">
        <v>2325</v>
      </c>
      <c r="AF123" s="108">
        <v>1</v>
      </c>
      <c r="AG123" s="108" t="s">
        <v>2299</v>
      </c>
      <c r="AH123" s="144">
        <v>10000</v>
      </c>
      <c r="AI123" s="144">
        <v>5000</v>
      </c>
      <c r="AJ123" s="145">
        <v>0</v>
      </c>
      <c r="AK123" s="108"/>
      <c r="AW123" s="146" t="str">
        <f>CONCATENATE("○",機器表!AZ9,"　",機器表!BA9)</f>
        <v>○ﾈﾎﾟﾝﾌｧﾝ　FAN-303T</v>
      </c>
      <c r="AX123" s="108">
        <v>16</v>
      </c>
      <c r="AY123" s="146" t="str">
        <f>機器表!BB9</f>
        <v>台</v>
      </c>
      <c r="AZ123" s="152">
        <f>機器表!BC9</f>
        <v>50000</v>
      </c>
      <c r="BA123" s="152">
        <f>機器表!BD9</f>
        <v>19780</v>
      </c>
      <c r="BB123" s="151">
        <f>機器表!BE9</f>
        <v>0.2</v>
      </c>
      <c r="BC123" s="108" t="s">
        <v>2333</v>
      </c>
      <c r="BF123" s="25" t="s">
        <v>2581</v>
      </c>
      <c r="BG123" s="25">
        <v>1</v>
      </c>
      <c r="BH123" s="25" t="s">
        <v>77</v>
      </c>
      <c r="BI123" s="28">
        <f>管材表!ET11</f>
        <v>30600</v>
      </c>
      <c r="BJ123" s="28">
        <f>管材表!EU11</f>
        <v>24480</v>
      </c>
      <c r="BK123" s="29">
        <v>0.08</v>
      </c>
      <c r="BL123" s="25" t="s">
        <v>2342</v>
      </c>
    </row>
    <row r="124" spans="5:73">
      <c r="E124" s="146" t="str">
        <f>CONCATENATE("①",管材表!BW4,"　",管材表!BX4)</f>
        <v>①ﾊﾞﾀﾌﾗｲ弁　65A(ｳｴﾊ)</v>
      </c>
      <c r="F124" s="174">
        <v>3</v>
      </c>
      <c r="G124" s="146" t="str">
        <f>管材表!BY4</f>
        <v>個</v>
      </c>
      <c r="H124" s="152">
        <f>管材表!BZ4</f>
        <v>28400</v>
      </c>
      <c r="I124" s="152">
        <f>管材表!CA4</f>
        <v>18460</v>
      </c>
      <c r="J124" s="151">
        <f>管材表!CB4</f>
        <v>0.19</v>
      </c>
      <c r="K124" s="108" t="s">
        <v>2304</v>
      </c>
      <c r="M124" s="108"/>
      <c r="N124" s="25" t="s">
        <v>2578</v>
      </c>
      <c r="O124" s="25">
        <v>1</v>
      </c>
      <c r="P124" s="25" t="s">
        <v>49</v>
      </c>
      <c r="Q124" s="28">
        <v>20000</v>
      </c>
      <c r="R124" s="28">
        <v>10000</v>
      </c>
      <c r="AW124" s="108" t="s">
        <v>2312</v>
      </c>
      <c r="AX124" s="108">
        <v>1</v>
      </c>
      <c r="AY124" s="108" t="s">
        <v>49</v>
      </c>
      <c r="AZ124" s="148">
        <f>ROUND(項目表!$E$3*標準項!BC124,-3)</f>
        <v>122000</v>
      </c>
      <c r="BA124" s="148">
        <f>ROUND(項目表!$F$3*標準項!BC124,-3)</f>
        <v>75000</v>
      </c>
      <c r="BB124" s="145"/>
      <c r="BC124" s="157">
        <v>2.56</v>
      </c>
      <c r="BF124" s="39" t="str">
        <f>CONCATENATE("①",管材表!BG3,"　",管材表!BH3)</f>
        <v>①ｹﾞｰﾄ弁　15A</v>
      </c>
      <c r="BG124" s="25">
        <v>1</v>
      </c>
      <c r="BH124" s="39" t="str">
        <f>管材表!BI3</f>
        <v>個</v>
      </c>
      <c r="BI124" s="37">
        <f>管材表!BJ3</f>
        <v>6510</v>
      </c>
      <c r="BJ124" s="37">
        <f>管材表!BK3</f>
        <v>4230</v>
      </c>
      <c r="BK124" s="57">
        <f>管材表!BL3</f>
        <v>0.08</v>
      </c>
      <c r="BL124" s="25" t="s">
        <v>2342</v>
      </c>
    </row>
    <row r="125" spans="5:73">
      <c r="E125" s="146" t="str">
        <f>CONCATENATE("①",管材表!BG7,"　",管材表!BH7)</f>
        <v>①ｹﾞｰﾄ弁　40A</v>
      </c>
      <c r="F125" s="108">
        <v>1</v>
      </c>
      <c r="G125" s="146" t="str">
        <f>管材表!BI7</f>
        <v>個</v>
      </c>
      <c r="H125" s="152">
        <f>管材表!BJ7</f>
        <v>26700</v>
      </c>
      <c r="I125" s="152">
        <f>管材表!BK7</f>
        <v>17360</v>
      </c>
      <c r="J125" s="151">
        <f>管材表!BL7</f>
        <v>0.16</v>
      </c>
      <c r="K125" s="108" t="s">
        <v>2304</v>
      </c>
      <c r="AW125" s="146" t="str">
        <f>CONCATENATE("○",電材表!Q21,"　",電材表!R21)</f>
        <v>○ﾈﾎﾟﾝﾀｲﾏBOX　TMB-200-11</v>
      </c>
      <c r="AX125" s="108">
        <v>1</v>
      </c>
      <c r="AY125" s="146" t="str">
        <f>電材表!S21</f>
        <v>面</v>
      </c>
      <c r="AZ125" s="152">
        <f>電材表!T21</f>
        <v>63800</v>
      </c>
      <c r="BA125" s="152">
        <f>電材表!U21</f>
        <v>11730</v>
      </c>
      <c r="BB125" s="145"/>
      <c r="BC125" s="108" t="s">
        <v>2295</v>
      </c>
      <c r="BF125" s="25" t="s">
        <v>2371</v>
      </c>
      <c r="BG125" s="25">
        <v>1</v>
      </c>
      <c r="BH125" s="25" t="s">
        <v>49</v>
      </c>
      <c r="BI125" s="28">
        <v>18000</v>
      </c>
      <c r="BJ125" s="28">
        <v>12000</v>
      </c>
    </row>
    <row r="126" spans="5:73">
      <c r="E126" s="146" t="str">
        <f>CONCATENATE("①",管材表!BG3,"　",管材表!BH3)</f>
        <v>①ｹﾞｰﾄ弁　15A</v>
      </c>
      <c r="F126" s="108">
        <v>2</v>
      </c>
      <c r="G126" s="146" t="str">
        <f>管材表!BI3</f>
        <v>個</v>
      </c>
      <c r="H126" s="152">
        <f>管材表!BJ3</f>
        <v>6510</v>
      </c>
      <c r="I126" s="152">
        <f>管材表!BK3</f>
        <v>4230</v>
      </c>
      <c r="J126" s="151">
        <f>管材表!BL3</f>
        <v>0.08</v>
      </c>
      <c r="K126" s="108" t="s">
        <v>2304</v>
      </c>
      <c r="BF126" s="25" t="s">
        <v>2382</v>
      </c>
      <c r="BG126" s="25">
        <v>1</v>
      </c>
      <c r="BH126" s="25" t="s">
        <v>49</v>
      </c>
      <c r="BI126" s="28">
        <v>12000</v>
      </c>
      <c r="BJ126" s="28">
        <v>8000</v>
      </c>
    </row>
    <row r="127" spans="5:73">
      <c r="E127" s="146" t="str">
        <f>CONCATENATE("①",管材表!BO11,"　",管材表!BP11)</f>
        <v>①ﾁｬｯｷ弁　65A(ｳｴﾊ)</v>
      </c>
      <c r="F127" s="108">
        <v>1</v>
      </c>
      <c r="G127" s="146" t="str">
        <f>管材表!BQ11</f>
        <v>個</v>
      </c>
      <c r="H127" s="152">
        <f>管材表!BR11</f>
        <v>125000</v>
      </c>
      <c r="I127" s="152">
        <f>管材表!BS11</f>
        <v>81250</v>
      </c>
      <c r="J127" s="151">
        <f>管材表!BT11</f>
        <v>0.32</v>
      </c>
      <c r="K127" s="108" t="s">
        <v>2304</v>
      </c>
      <c r="AE127" s="51" t="s">
        <v>2603</v>
      </c>
      <c r="BF127" s="25" t="s">
        <v>2384</v>
      </c>
      <c r="BG127" s="25">
        <v>1</v>
      </c>
      <c r="BH127" s="25" t="s">
        <v>49</v>
      </c>
      <c r="BI127" s="73">
        <f>ROUND(項目表!E3*標準項!BL127,-3)</f>
        <v>76000</v>
      </c>
      <c r="BJ127" s="73">
        <f>ROUND(項目表!F3*標準項!BL127,-3)</f>
        <v>47000</v>
      </c>
      <c r="BL127" s="77">
        <v>1.6</v>
      </c>
    </row>
    <row r="128" spans="5:73">
      <c r="E128" s="146" t="str">
        <f>CONCATENATE("①",管材表!DC3,"　",管材表!DD3)</f>
        <v>①Yｽﾄﾚｰﾅ　15A</v>
      </c>
      <c r="F128" s="108">
        <v>1</v>
      </c>
      <c r="G128" s="146" t="str">
        <f>管材表!DE3</f>
        <v>個</v>
      </c>
      <c r="H128" s="152">
        <f>管材表!DF3</f>
        <v>6080</v>
      </c>
      <c r="I128" s="152">
        <f>管材表!DG3</f>
        <v>3950</v>
      </c>
      <c r="J128" s="151">
        <f>管材表!DH3</f>
        <v>0.08</v>
      </c>
      <c r="K128" s="108" t="s">
        <v>2304</v>
      </c>
      <c r="AE128" s="146" t="str">
        <f>CONCATENATE("①",管材表!AA5,"　",管材表!AB5)</f>
        <v>①外面被覆鋼管　25A</v>
      </c>
      <c r="AF128" s="108">
        <v>72</v>
      </c>
      <c r="AG128" s="146" t="str">
        <f>管材表!AC5</f>
        <v>m</v>
      </c>
      <c r="AH128" s="152">
        <f>管材表!AD5</f>
        <v>3680</v>
      </c>
      <c r="AI128" s="152">
        <f>管材表!AE5</f>
        <v>2760</v>
      </c>
      <c r="AJ128" s="151">
        <f>管材表!AF5</f>
        <v>0.17</v>
      </c>
      <c r="AK128" s="108" t="s">
        <v>2304</v>
      </c>
      <c r="BF128" s="108" t="s">
        <v>2411</v>
      </c>
      <c r="BG128" s="108">
        <v>1</v>
      </c>
      <c r="BH128" s="39" t="str">
        <f>機器表!ET15</f>
        <v>本</v>
      </c>
      <c r="BI128" s="178">
        <f>機器表!EU15</f>
        <v>21600</v>
      </c>
      <c r="BJ128" s="178">
        <f>機器表!EV15</f>
        <v>10650</v>
      </c>
      <c r="BK128" s="57">
        <f>機器表!EW15</f>
        <v>0</v>
      </c>
      <c r="BL128" s="108" t="s">
        <v>2280</v>
      </c>
    </row>
    <row r="129" spans="5:64">
      <c r="E129" s="186" t="s">
        <v>2430</v>
      </c>
      <c r="F129" s="186">
        <v>1</v>
      </c>
      <c r="G129" s="186" t="s">
        <v>991</v>
      </c>
      <c r="H129" s="184">
        <f>管材表!FB9</f>
        <v>15500</v>
      </c>
      <c r="I129" s="184">
        <f>管材表!FC9</f>
        <v>2920</v>
      </c>
      <c r="J129" s="189">
        <v>0.1</v>
      </c>
      <c r="K129" s="186" t="s">
        <v>2342</v>
      </c>
      <c r="AE129" s="146" t="str">
        <f>CONCATENATE("①",管材表!CM5,"　",管材表!CN5)</f>
        <v>①ﾏﾚｰﾌﾞﾙ弁　25A</v>
      </c>
      <c r="AF129" s="108">
        <v>2</v>
      </c>
      <c r="AG129" s="146" t="str">
        <f>管材表!CO5</f>
        <v>個</v>
      </c>
      <c r="AH129" s="152">
        <f>管材表!CP5</f>
        <v>17500</v>
      </c>
      <c r="AI129" s="152">
        <f>管材表!CQ5</f>
        <v>11380</v>
      </c>
      <c r="AJ129" s="151">
        <f>管材表!CR5</f>
        <v>0.12</v>
      </c>
      <c r="AK129" s="108" t="s">
        <v>2304</v>
      </c>
      <c r="BF129" s="108" t="s">
        <v>2351</v>
      </c>
      <c r="BG129" s="108">
        <v>2</v>
      </c>
      <c r="BH129" s="39" t="str">
        <f>機器表!ET18</f>
        <v>本</v>
      </c>
      <c r="BI129" s="178">
        <f>機器表!EU18</f>
        <v>29800</v>
      </c>
      <c r="BJ129" s="178">
        <f>機器表!EV18</f>
        <v>14900</v>
      </c>
      <c r="BK129" s="57">
        <f>機器表!EW18</f>
        <v>0</v>
      </c>
      <c r="BL129" s="108" t="s">
        <v>2280</v>
      </c>
    </row>
    <row r="130" spans="5:64">
      <c r="E130" s="108" t="s">
        <v>2371</v>
      </c>
      <c r="F130" s="108">
        <v>1</v>
      </c>
      <c r="G130" s="108" t="s">
        <v>2299</v>
      </c>
      <c r="H130" s="144">
        <v>60000</v>
      </c>
      <c r="I130" s="144">
        <v>38000</v>
      </c>
      <c r="J130" s="145">
        <v>0</v>
      </c>
      <c r="K130" s="108"/>
      <c r="AE130" s="108" t="s">
        <v>2347</v>
      </c>
      <c r="AF130" s="108">
        <v>1</v>
      </c>
      <c r="AG130" s="108" t="s">
        <v>2299</v>
      </c>
      <c r="AH130" s="144">
        <v>15000</v>
      </c>
      <c r="AI130" s="144">
        <v>10000</v>
      </c>
      <c r="AJ130" s="145">
        <v>0</v>
      </c>
      <c r="AK130" s="108"/>
      <c r="BF130" s="108" t="s">
        <v>2360</v>
      </c>
      <c r="BG130" s="108">
        <v>10</v>
      </c>
      <c r="BH130" s="39" t="str">
        <f>機器表!ET49</f>
        <v>ｾｯﾄ</v>
      </c>
      <c r="BI130" s="178">
        <f>機器表!EU49</f>
        <v>2370</v>
      </c>
      <c r="BJ130" s="178">
        <f>機器表!EV49</f>
        <v>700</v>
      </c>
      <c r="BK130" s="57">
        <f>機器表!EW49</f>
        <v>0</v>
      </c>
      <c r="BL130" s="108" t="s">
        <v>2280</v>
      </c>
    </row>
    <row r="131" spans="5:64">
      <c r="E131" s="108" t="s">
        <v>2320</v>
      </c>
      <c r="F131" s="108">
        <v>1</v>
      </c>
      <c r="G131" s="108" t="s">
        <v>2290</v>
      </c>
      <c r="H131" s="148">
        <f>ROUND(項目表!$E$3*標準項!K131,-3)</f>
        <v>283000</v>
      </c>
      <c r="I131" s="148">
        <f>ROUND(項目表!$F$3*標準項!K131,-3)</f>
        <v>175000</v>
      </c>
      <c r="J131" s="145"/>
      <c r="K131" s="174">
        <v>5.96</v>
      </c>
      <c r="AE131" s="108" t="s">
        <v>2384</v>
      </c>
      <c r="AF131" s="108">
        <v>1</v>
      </c>
      <c r="AG131" s="108" t="s">
        <v>2290</v>
      </c>
      <c r="AH131" s="148">
        <f>ROUND(項目表!$E$3*標準項!AK131,-3)</f>
        <v>332000</v>
      </c>
      <c r="AI131" s="148">
        <f>ROUND(項目表!$F$3*標準項!AK131,-3)</f>
        <v>206000</v>
      </c>
      <c r="AJ131" s="145"/>
      <c r="AK131" s="174">
        <v>6.99</v>
      </c>
      <c r="BF131" s="25" t="s">
        <v>2578</v>
      </c>
      <c r="BG131" s="25">
        <v>1</v>
      </c>
      <c r="BH131" s="25" t="s">
        <v>49</v>
      </c>
      <c r="BI131" s="73">
        <v>20000</v>
      </c>
      <c r="BJ131" s="73">
        <v>10000</v>
      </c>
    </row>
    <row r="132" spans="5:64">
      <c r="E132" s="108" t="s">
        <v>2572</v>
      </c>
      <c r="F132" s="108">
        <v>12</v>
      </c>
      <c r="G132" s="108" t="s">
        <v>1833</v>
      </c>
      <c r="H132" s="28">
        <v>3820</v>
      </c>
      <c r="I132" s="28">
        <v>2560</v>
      </c>
      <c r="J132" s="145">
        <v>0</v>
      </c>
      <c r="K132" s="108" t="s">
        <v>2304</v>
      </c>
      <c r="AE132" s="108" t="s">
        <v>2601</v>
      </c>
      <c r="AF132" s="108">
        <v>20</v>
      </c>
      <c r="AG132" s="108" t="s">
        <v>1833</v>
      </c>
      <c r="AH132" s="144">
        <v>4500</v>
      </c>
      <c r="AI132" s="144">
        <v>2800</v>
      </c>
      <c r="AJ132" s="145">
        <v>0</v>
      </c>
      <c r="AK132" s="108">
        <v>0.1</v>
      </c>
    </row>
    <row r="133" spans="5:64">
      <c r="E133" s="108" t="s">
        <v>2575</v>
      </c>
      <c r="F133" s="108">
        <v>4</v>
      </c>
      <c r="G133" s="108" t="s">
        <v>1833</v>
      </c>
      <c r="H133" s="28">
        <v>3530</v>
      </c>
      <c r="I133" s="28">
        <v>2370</v>
      </c>
      <c r="J133" s="145">
        <v>0</v>
      </c>
      <c r="K133" s="108" t="s">
        <v>2304</v>
      </c>
      <c r="AE133" s="108" t="s">
        <v>2325</v>
      </c>
      <c r="AF133" s="108">
        <v>1</v>
      </c>
      <c r="AG133" s="108" t="s">
        <v>2299</v>
      </c>
      <c r="AH133" s="144">
        <v>20000</v>
      </c>
      <c r="AI133" s="144">
        <v>15000</v>
      </c>
      <c r="AJ133" s="145">
        <v>0</v>
      </c>
      <c r="AK133" s="108"/>
    </row>
    <row r="134" spans="5:64">
      <c r="E134" s="108" t="s">
        <v>2525</v>
      </c>
      <c r="F134" s="108">
        <v>1</v>
      </c>
      <c r="G134" s="108" t="s">
        <v>2299</v>
      </c>
      <c r="H134" s="144">
        <v>10000</v>
      </c>
      <c r="I134" s="144">
        <v>6000</v>
      </c>
      <c r="J134" s="145">
        <v>0</v>
      </c>
      <c r="K134" s="108">
        <v>0.24</v>
      </c>
    </row>
    <row r="135" spans="5:64">
      <c r="E135" s="108" t="s">
        <v>2325</v>
      </c>
      <c r="F135" s="108">
        <v>1</v>
      </c>
      <c r="G135" s="108" t="s">
        <v>2299</v>
      </c>
      <c r="H135" s="148">
        <v>25000</v>
      </c>
      <c r="I135" s="148">
        <v>15000</v>
      </c>
      <c r="J135" s="145">
        <v>0</v>
      </c>
      <c r="K135" s="108"/>
    </row>
    <row r="136" spans="5:64">
      <c r="AE136" s="51" t="s">
        <v>340</v>
      </c>
    </row>
    <row r="137" spans="5:64">
      <c r="AE137" s="108" t="s">
        <v>2328</v>
      </c>
      <c r="AF137" s="108">
        <v>1</v>
      </c>
      <c r="AG137" s="146" t="str">
        <f>機器表!ED4</f>
        <v>基</v>
      </c>
      <c r="AH137" s="152">
        <f>機器表!EE4</f>
        <v>84000</v>
      </c>
      <c r="AI137" s="152">
        <f>機器表!EF4</f>
        <v>26080</v>
      </c>
      <c r="AJ137" s="167">
        <f>機器表!EG4</f>
        <v>0.2</v>
      </c>
      <c r="AK137" s="108" t="s">
        <v>2280</v>
      </c>
    </row>
    <row r="138" spans="5:64">
      <c r="AE138" s="108" t="s">
        <v>2335</v>
      </c>
      <c r="AF138" s="108">
        <v>1</v>
      </c>
      <c r="AG138" s="108" t="s">
        <v>2290</v>
      </c>
      <c r="AH138" s="148">
        <f>ROUND(項目表!$E$3*標準項!AK138,-3)</f>
        <v>10000</v>
      </c>
      <c r="AI138" s="148">
        <f>ROUND(項目表!$F$3*標準項!AK138,-3)</f>
        <v>6000</v>
      </c>
      <c r="AJ138" s="145"/>
      <c r="AK138" s="168">
        <f>AJ137</f>
        <v>0.2</v>
      </c>
    </row>
    <row r="139" spans="5:64">
      <c r="AE139" s="108" t="s">
        <v>2289</v>
      </c>
      <c r="AF139" s="108">
        <v>1</v>
      </c>
      <c r="AG139" s="108" t="s">
        <v>2290</v>
      </c>
      <c r="AH139" s="148">
        <f>ROUND(項目表!$E$3*標準項!AK139,-3)</f>
        <v>10000</v>
      </c>
      <c r="AI139" s="148">
        <f>ROUND(項目表!$F$3*標準項!AK138,-3)</f>
        <v>6000</v>
      </c>
      <c r="AJ139" s="145"/>
      <c r="AK139" s="168">
        <f>AJ137</f>
        <v>0.2</v>
      </c>
    </row>
    <row r="140" spans="5:64">
      <c r="AE140" s="108" t="s">
        <v>2303</v>
      </c>
      <c r="AF140" s="108">
        <v>1</v>
      </c>
      <c r="AG140" s="152" t="str">
        <f>管材表!FA3</f>
        <v>個</v>
      </c>
      <c r="AH140" s="152">
        <f>管材表!FB3</f>
        <v>16500</v>
      </c>
      <c r="AI140" s="200">
        <f>管材表!FC3</f>
        <v>4670</v>
      </c>
      <c r="AJ140" s="167">
        <f>管材表!FD3</f>
        <v>0.3</v>
      </c>
      <c r="AK140" s="108" t="s">
        <v>2304</v>
      </c>
    </row>
    <row r="141" spans="5:64">
      <c r="E141" s="51" t="s">
        <v>624</v>
      </c>
      <c r="AE141" s="108" t="s">
        <v>2309</v>
      </c>
      <c r="AF141" s="108">
        <v>1</v>
      </c>
      <c r="AG141" s="146" t="str">
        <f>管材表!FA8</f>
        <v>個</v>
      </c>
      <c r="AH141" s="200">
        <f>管材表!FB8</f>
        <v>18000</v>
      </c>
      <c r="AI141" s="200">
        <f>管材表!FC8</f>
        <v>4600</v>
      </c>
      <c r="AJ141" s="151">
        <f>管材表!FD8</f>
        <v>0.2</v>
      </c>
      <c r="AK141" s="108" t="s">
        <v>2304</v>
      </c>
    </row>
    <row r="142" spans="5:64">
      <c r="E142" s="146" t="str">
        <f>CONCATENATE("○",機器表!AB12,"　",機器表!AC12)</f>
        <v>○ﾊｳｽﾎﾞｲﾗ　HB-3007TA</v>
      </c>
      <c r="F142" s="108">
        <v>1</v>
      </c>
      <c r="G142" s="147" t="str">
        <f>機器表!AD12</f>
        <v>台</v>
      </c>
      <c r="H142" s="36">
        <f>機器表!AE12</f>
        <v>3278000</v>
      </c>
      <c r="I142" s="36">
        <f>機器表!AF12</f>
        <v>1208630</v>
      </c>
      <c r="J142" s="56">
        <f>機器表!AG12</f>
        <v>3.4</v>
      </c>
      <c r="K142" s="108" t="s">
        <v>2280</v>
      </c>
      <c r="AE142" s="146" t="str">
        <f>CONCATENATE("①",管材表!CM3,"　",管材表!CN3)</f>
        <v>①ﾏﾚｰﾌﾞﾙ弁　15A</v>
      </c>
      <c r="AF142" s="108">
        <v>1</v>
      </c>
      <c r="AG142" s="146" t="str">
        <f>管材表!CO3</f>
        <v>個</v>
      </c>
      <c r="AH142" s="152">
        <f>管材表!CP3</f>
        <v>12200</v>
      </c>
      <c r="AI142" s="152">
        <f>管材表!CQ3</f>
        <v>7930</v>
      </c>
      <c r="AJ142" s="151">
        <f>管材表!CR3</f>
        <v>0.08</v>
      </c>
      <c r="AK142" s="108" t="s">
        <v>2304</v>
      </c>
    </row>
    <row r="143" spans="5:64">
      <c r="E143" s="108" t="s">
        <v>2289</v>
      </c>
      <c r="F143" s="108">
        <v>1</v>
      </c>
      <c r="G143" s="108" t="s">
        <v>2290</v>
      </c>
      <c r="H143" s="148">
        <f>ROUND(項目表!$E$3*標準項!K143,-3)</f>
        <v>126000</v>
      </c>
      <c r="I143" s="148">
        <f>ROUND(項目表!$F$3*標準項!K143,-3)</f>
        <v>78000</v>
      </c>
      <c r="J143" s="145"/>
      <c r="K143" s="149">
        <v>2.65</v>
      </c>
      <c r="AE143" s="108" t="s">
        <v>2320</v>
      </c>
      <c r="AF143" s="108">
        <v>1</v>
      </c>
      <c r="AG143" s="108" t="s">
        <v>2290</v>
      </c>
      <c r="AH143" s="148">
        <f>ROUND(項目表!$E$3*標準項!AK143,-3)</f>
        <v>28000</v>
      </c>
      <c r="AI143" s="148">
        <f>ROUND(項目表!$F$3*標準項!AK143,-3)</f>
        <v>17000</v>
      </c>
      <c r="AJ143" s="145"/>
      <c r="AK143" s="157">
        <v>0.57999999999999996</v>
      </c>
    </row>
    <row r="144" spans="5:64">
      <c r="E144" s="39" t="str">
        <f>CONCATENATE("③",電材表!Q18,"　",電材表!R18)</f>
        <v>③感震器　BES-100</v>
      </c>
      <c r="F144" s="108">
        <v>1</v>
      </c>
      <c r="G144" s="146" t="str">
        <f>電材表!S18</f>
        <v>個</v>
      </c>
      <c r="H144" s="37">
        <f>電材表!T18</f>
        <v>20100</v>
      </c>
      <c r="I144" s="37">
        <f>電材表!U18</f>
        <v>5580</v>
      </c>
      <c r="J144" s="57">
        <f>電材表!V18</f>
        <v>0</v>
      </c>
      <c r="K144" s="25" t="s">
        <v>2295</v>
      </c>
      <c r="AE144" s="108" t="s">
        <v>2325</v>
      </c>
      <c r="AF144" s="108">
        <v>1</v>
      </c>
      <c r="AG144" s="108" t="s">
        <v>2299</v>
      </c>
      <c r="AH144" s="144">
        <v>5000</v>
      </c>
      <c r="AI144" s="144">
        <v>3000</v>
      </c>
      <c r="AJ144" s="145"/>
      <c r="AK144" s="108"/>
    </row>
    <row r="145" spans="5:44">
      <c r="E145" s="146" t="str">
        <f>CONCATENATE("○",機器表!EJ51,"　",機器表!EK51)</f>
        <v>○煙道延長ｾｯﾄ　BEA-DA-900</v>
      </c>
      <c r="F145" s="108">
        <v>1</v>
      </c>
      <c r="G145" s="39" t="str">
        <f>機器表!EL51</f>
        <v>ｾｯﾄ</v>
      </c>
      <c r="H145" s="37">
        <f>機器表!EM51</f>
        <v>165600</v>
      </c>
      <c r="I145" s="37">
        <f>機器表!EN51</f>
        <v>21800</v>
      </c>
      <c r="J145" s="57">
        <f>機器表!EO51</f>
        <v>0.4</v>
      </c>
      <c r="K145" s="108" t="s">
        <v>2280</v>
      </c>
    </row>
    <row r="146" spans="5:44">
      <c r="E146" s="108" t="s">
        <v>2604</v>
      </c>
      <c r="F146" s="108">
        <v>1</v>
      </c>
      <c r="G146" s="108" t="s">
        <v>2593</v>
      </c>
      <c r="H146" s="144">
        <v>210300</v>
      </c>
      <c r="I146" s="144">
        <v>95000</v>
      </c>
      <c r="J146" s="145">
        <v>1.5</v>
      </c>
      <c r="K146" s="108" t="s">
        <v>2280</v>
      </c>
    </row>
    <row r="147" spans="5:44">
      <c r="E147" s="108" t="s">
        <v>2318</v>
      </c>
      <c r="F147" s="108">
        <v>1</v>
      </c>
      <c r="G147" s="108" t="s">
        <v>2299</v>
      </c>
      <c r="H147" s="144">
        <v>20000</v>
      </c>
      <c r="I147" s="144">
        <v>14000</v>
      </c>
      <c r="J147" s="145"/>
      <c r="K147" s="108">
        <v>0.53</v>
      </c>
    </row>
    <row r="148" spans="5:44">
      <c r="E148" s="108" t="s">
        <v>2323</v>
      </c>
      <c r="F148" s="108">
        <v>1</v>
      </c>
      <c r="G148" s="108" t="s">
        <v>2290</v>
      </c>
      <c r="H148" s="148">
        <f>ROUND(項目表!$E$3*標準項!K148,-3)</f>
        <v>90000</v>
      </c>
      <c r="I148" s="148">
        <f>ROUND(項目表!$F$3*標準項!K148,-3)</f>
        <v>56000</v>
      </c>
      <c r="J148" s="145">
        <v>0</v>
      </c>
      <c r="K148" s="157">
        <v>1.9</v>
      </c>
      <c r="AE148" s="191" t="s">
        <v>2605</v>
      </c>
    </row>
    <row r="149" spans="5:44">
      <c r="E149" s="108" t="s">
        <v>2551</v>
      </c>
      <c r="F149" s="108">
        <v>1</v>
      </c>
      <c r="G149" s="108" t="s">
        <v>2299</v>
      </c>
      <c r="H149" s="144">
        <v>50000</v>
      </c>
      <c r="I149" s="144">
        <v>35000</v>
      </c>
      <c r="J149" s="145"/>
      <c r="K149" s="108"/>
      <c r="AE149" s="108" t="s">
        <v>2606</v>
      </c>
      <c r="AF149" s="108">
        <v>1</v>
      </c>
      <c r="AG149" s="108" t="s">
        <v>2345</v>
      </c>
      <c r="AH149" s="144">
        <v>1060000</v>
      </c>
      <c r="AI149" s="144">
        <v>660000</v>
      </c>
      <c r="AJ149" s="145" t="e">
        <f>機器表!#REF!</f>
        <v>#REF!</v>
      </c>
      <c r="AK149" s="108" t="s">
        <v>2333</v>
      </c>
    </row>
    <row r="150" spans="5:44">
      <c r="E150" s="146" t="str">
        <f>CONCATENATE("○",機器表!CV23,"　",機器表!CW23)</f>
        <v>○ﾗｲﾝﾎﾟﾝﾌﾟ　50Hz φ65 2.2kW</v>
      </c>
      <c r="F150" s="174">
        <v>1</v>
      </c>
      <c r="G150" s="155" t="str">
        <f>機器表!CX16</f>
        <v>台</v>
      </c>
      <c r="H150" s="152">
        <f>機器表!CY23</f>
        <v>362000</v>
      </c>
      <c r="I150" s="152">
        <f>機器表!CZ23</f>
        <v>191860</v>
      </c>
      <c r="J150" s="151">
        <f>機器表!DA23</f>
        <v>0.8</v>
      </c>
      <c r="K150" s="108" t="s">
        <v>2280</v>
      </c>
      <c r="AE150" s="108" t="s">
        <v>2289</v>
      </c>
      <c r="AF150" s="108">
        <v>1</v>
      </c>
      <c r="AG150" s="108" t="s">
        <v>2290</v>
      </c>
      <c r="AH150" s="148" t="e">
        <f>ROUND(項目表!$E$3*標準項!AK150,-3)</f>
        <v>#REF!</v>
      </c>
      <c r="AI150" s="148" t="e">
        <f>ROUND(項目表!$F$3*標準項!AK150,-3)</f>
        <v>#REF!</v>
      </c>
      <c r="AJ150" s="145"/>
      <c r="AK150" s="154" t="e">
        <f>AJ149</f>
        <v>#REF!</v>
      </c>
    </row>
    <row r="151" spans="5:44">
      <c r="E151" s="108" t="s">
        <v>2308</v>
      </c>
      <c r="F151" s="108">
        <v>1</v>
      </c>
      <c r="G151" s="108" t="s">
        <v>2290</v>
      </c>
      <c r="H151" s="148">
        <f>ROUND(項目表!$E$3*標準項!K151,-3)</f>
        <v>38000</v>
      </c>
      <c r="I151" s="148">
        <f>ROUND(項目表!$F$3*標準項!K151,-3)</f>
        <v>24000</v>
      </c>
      <c r="J151" s="145"/>
      <c r="K151" s="157">
        <v>0.8</v>
      </c>
      <c r="AE151" s="108" t="s">
        <v>2607</v>
      </c>
      <c r="AF151" s="108">
        <v>1</v>
      </c>
      <c r="AG151" s="108" t="s">
        <v>2299</v>
      </c>
      <c r="AH151" s="144">
        <v>380000</v>
      </c>
      <c r="AI151" s="144">
        <v>300000</v>
      </c>
      <c r="AJ151" s="145">
        <v>0</v>
      </c>
      <c r="AK151" s="108" t="s">
        <v>2280</v>
      </c>
    </row>
    <row r="152" spans="5:44">
      <c r="E152" s="146" t="str">
        <f>CONCATENATE("①",管材表!K10,"　",管材表!L10)</f>
        <v>①SGP鋼管(白)　80A</v>
      </c>
      <c r="F152" s="108">
        <v>12</v>
      </c>
      <c r="G152" s="146" t="str">
        <f>管材表!M10</f>
        <v>m</v>
      </c>
      <c r="H152" s="152">
        <f>管材表!N10</f>
        <v>16220</v>
      </c>
      <c r="I152" s="152">
        <f>管材表!O10</f>
        <v>8590</v>
      </c>
      <c r="J152" s="151">
        <f>管材表!P10</f>
        <v>0.42</v>
      </c>
      <c r="K152" s="108" t="s">
        <v>2304</v>
      </c>
      <c r="AE152" s="108" t="s">
        <v>2608</v>
      </c>
      <c r="AF152" s="108">
        <v>1</v>
      </c>
      <c r="AG152" s="108" t="s">
        <v>1824</v>
      </c>
      <c r="AH152" s="144">
        <v>15000</v>
      </c>
      <c r="AI152" s="144">
        <v>10000</v>
      </c>
      <c r="AJ152" s="145">
        <v>0</v>
      </c>
      <c r="AK152" s="108"/>
    </row>
    <row r="153" spans="5:44">
      <c r="E153" s="146" t="str">
        <f>CONCATENATE("①",管材表!K8,"　",管材表!L8)</f>
        <v>①SGP鋼管(白)　50A</v>
      </c>
      <c r="F153" s="108">
        <v>8</v>
      </c>
      <c r="G153" s="146" t="str">
        <f>管材表!M8</f>
        <v>m</v>
      </c>
      <c r="H153" s="152">
        <f>管材表!N8</f>
        <v>9480</v>
      </c>
      <c r="I153" s="152">
        <f>管材表!O8</f>
        <v>5020</v>
      </c>
      <c r="J153" s="151">
        <f>管材表!P8</f>
        <v>0.28999999999999998</v>
      </c>
      <c r="K153" s="108" t="s">
        <v>2304</v>
      </c>
      <c r="AE153" s="108" t="s">
        <v>2516</v>
      </c>
      <c r="AF153" s="108">
        <v>1</v>
      </c>
      <c r="AG153" s="108" t="s">
        <v>1824</v>
      </c>
      <c r="AH153" s="144">
        <v>127000</v>
      </c>
      <c r="AI153" s="144">
        <v>100000</v>
      </c>
      <c r="AJ153" s="145">
        <v>0</v>
      </c>
      <c r="AK153" s="108"/>
    </row>
    <row r="154" spans="5:44">
      <c r="E154" s="146" t="str">
        <f>CONCATENATE("①",管材表!K7,"　",管材表!L7)</f>
        <v>①SGP鋼管(白)　40A</v>
      </c>
      <c r="F154" s="108">
        <v>8</v>
      </c>
      <c r="G154" s="146" t="str">
        <f>管材表!M7</f>
        <v>m</v>
      </c>
      <c r="H154" s="152">
        <f>管材表!N7</f>
        <v>6910</v>
      </c>
      <c r="I154" s="152">
        <f>管材表!O7</f>
        <v>3660</v>
      </c>
      <c r="J154" s="151">
        <f>管材表!P7</f>
        <v>0.23</v>
      </c>
      <c r="K154" s="108" t="s">
        <v>2304</v>
      </c>
      <c r="AE154" s="146" t="str">
        <f>CONCATENATE("①",管材表!K7,"　",管材表!L7)</f>
        <v>①SGP鋼管(白)　40A</v>
      </c>
      <c r="AF154" s="108">
        <v>20</v>
      </c>
      <c r="AG154" s="146" t="str">
        <f>管材表!M7</f>
        <v>m</v>
      </c>
      <c r="AH154" s="152">
        <f>管材表!N7</f>
        <v>6910</v>
      </c>
      <c r="AI154" s="152">
        <f>管材表!O7</f>
        <v>3660</v>
      </c>
      <c r="AJ154" s="151">
        <f>管材表!P7</f>
        <v>0.23</v>
      </c>
      <c r="AK154" s="108" t="s">
        <v>2342</v>
      </c>
    </row>
    <row r="155" spans="5:44">
      <c r="E155" s="146" t="str">
        <f>CONCATENATE("①",管材表!K3,"　",管材表!L3)</f>
        <v>①SGP鋼管(白)　15A</v>
      </c>
      <c r="F155" s="108">
        <v>4</v>
      </c>
      <c r="G155" s="146" t="str">
        <f>管材表!M3</f>
        <v>m</v>
      </c>
      <c r="H155" s="152">
        <f>管材表!N3</f>
        <v>2650</v>
      </c>
      <c r="I155" s="152">
        <f>管材表!O3</f>
        <v>1410</v>
      </c>
      <c r="J155" s="151">
        <f>管材表!P3</f>
        <v>0.12</v>
      </c>
      <c r="K155" s="108" t="s">
        <v>2304</v>
      </c>
      <c r="AE155" s="146" t="str">
        <f>CONCATENATE("①",管材表!K6,"　",管材表!L6)</f>
        <v>①SGP鋼管(白)　32A</v>
      </c>
      <c r="AF155" s="108">
        <v>20</v>
      </c>
      <c r="AG155" s="146" t="str">
        <f>管材表!M6</f>
        <v>m</v>
      </c>
      <c r="AH155" s="152">
        <f>管材表!N6</f>
        <v>6020</v>
      </c>
      <c r="AI155" s="152">
        <f>管材表!O6</f>
        <v>3190</v>
      </c>
      <c r="AJ155" s="151">
        <f>管材表!P6</f>
        <v>0.21</v>
      </c>
      <c r="AK155" s="108" t="s">
        <v>2304</v>
      </c>
    </row>
    <row r="156" spans="5:44">
      <c r="E156" s="146" t="str">
        <f>CONCATENATE("①",管材表!BW5,"　",管材表!BX5)</f>
        <v>①ﾊﾞﾀﾌﾗｲ弁　80A(ｳｴﾊ)</v>
      </c>
      <c r="F156" s="174">
        <v>3</v>
      </c>
      <c r="G156" s="146" t="str">
        <f>管材表!BY5</f>
        <v>個</v>
      </c>
      <c r="H156" s="152">
        <f>管材表!BZ5</f>
        <v>33000</v>
      </c>
      <c r="I156" s="152">
        <f>管材表!CA5</f>
        <v>21450</v>
      </c>
      <c r="J156" s="151">
        <f>管材表!CB5</f>
        <v>0.23</v>
      </c>
      <c r="K156" s="108" t="s">
        <v>2304</v>
      </c>
      <c r="AE156" s="146" t="str">
        <f>CONCATENATE("①",管材表!K5,"　",管材表!L5)</f>
        <v>①SGP鋼管(白)　25A</v>
      </c>
      <c r="AF156" s="108">
        <v>20</v>
      </c>
      <c r="AG156" s="146" t="str">
        <f>管材表!M5</f>
        <v>m</v>
      </c>
      <c r="AH156" s="152">
        <f>管材表!N5</f>
        <v>4540</v>
      </c>
      <c r="AI156" s="152">
        <f>管材表!O5</f>
        <v>2400</v>
      </c>
      <c r="AJ156" s="151">
        <f>管材表!P5</f>
        <v>0.17</v>
      </c>
      <c r="AK156" s="108" t="s">
        <v>2304</v>
      </c>
    </row>
    <row r="157" spans="5:44">
      <c r="E157" s="146" t="str">
        <f>CONCATENATE("①",管材表!BG7,"　",管材表!BH7)</f>
        <v>①ｹﾞｰﾄ弁　40A</v>
      </c>
      <c r="F157" s="108">
        <v>1</v>
      </c>
      <c r="G157" s="146" t="str">
        <f>管材表!BI7</f>
        <v>個</v>
      </c>
      <c r="H157" s="152">
        <f>管材表!BJ7</f>
        <v>26700</v>
      </c>
      <c r="I157" s="152">
        <f>管材表!BK7</f>
        <v>17360</v>
      </c>
      <c r="J157" s="151">
        <f>管材表!BL7</f>
        <v>0.16</v>
      </c>
      <c r="K157" s="108" t="s">
        <v>2304</v>
      </c>
      <c r="AE157" s="146" t="str">
        <f>CONCATENATE("①",管材表!BO5,"　",管材表!BP5)</f>
        <v>①ﾁｬｯｷ弁　25A(ｽｲﾝｸﾞ)</v>
      </c>
      <c r="AF157" s="108">
        <v>1</v>
      </c>
      <c r="AG157" s="146" t="str">
        <f>管材表!BQ5</f>
        <v>個</v>
      </c>
      <c r="AH157" s="152">
        <f>管材表!BR5</f>
        <v>11400</v>
      </c>
      <c r="AI157" s="152">
        <f>管材表!BS5</f>
        <v>7410</v>
      </c>
      <c r="AJ157" s="151">
        <f>管材表!BT5</f>
        <v>0.12</v>
      </c>
      <c r="AK157" s="108" t="s">
        <v>2304</v>
      </c>
    </row>
    <row r="158" spans="5:44">
      <c r="E158" s="146" t="str">
        <f>CONCATENATE("①",管材表!BG3,"　",管材表!BH3)</f>
        <v>①ｹﾞｰﾄ弁　15A</v>
      </c>
      <c r="F158" s="108">
        <v>2</v>
      </c>
      <c r="G158" s="146" t="str">
        <f>管材表!BI3</f>
        <v>個</v>
      </c>
      <c r="H158" s="152">
        <f>管材表!BJ3</f>
        <v>6510</v>
      </c>
      <c r="I158" s="152">
        <f>管材表!BK3</f>
        <v>4230</v>
      </c>
      <c r="J158" s="151">
        <f>管材表!BL3</f>
        <v>0.08</v>
      </c>
      <c r="K158" s="108" t="s">
        <v>2304</v>
      </c>
      <c r="AE158" s="108" t="s">
        <v>2526</v>
      </c>
      <c r="AF158" s="108">
        <v>1</v>
      </c>
      <c r="AG158" s="108" t="s">
        <v>1824</v>
      </c>
      <c r="AH158" s="144">
        <v>3000</v>
      </c>
      <c r="AI158" s="144">
        <v>2500</v>
      </c>
      <c r="AJ158" s="145">
        <v>0</v>
      </c>
      <c r="AK158" s="108"/>
      <c r="AQ158" s="132"/>
      <c r="AR158" s="132"/>
    </row>
    <row r="159" spans="5:44">
      <c r="E159" s="174" t="str">
        <f>CONCATENATE("①",管材表!BO12,"　",管材表!BP12)</f>
        <v>①ﾁｬｯｷ弁　80A(ｳｴﾊ)</v>
      </c>
      <c r="F159" s="174">
        <v>1</v>
      </c>
      <c r="G159" s="174" t="str">
        <f>管材表!BQ11</f>
        <v>個</v>
      </c>
      <c r="H159" s="148">
        <f>管材表!BR12</f>
        <v>143000</v>
      </c>
      <c r="I159" s="148">
        <f>管材表!BS12</f>
        <v>92950</v>
      </c>
      <c r="J159" s="175">
        <f>管材表!BT12</f>
        <v>0.39</v>
      </c>
      <c r="K159" s="108" t="s">
        <v>2304</v>
      </c>
      <c r="AE159" s="108" t="s">
        <v>2609</v>
      </c>
      <c r="AF159" s="108">
        <v>1</v>
      </c>
      <c r="AG159" s="108" t="s">
        <v>1824</v>
      </c>
      <c r="AH159" s="144">
        <v>4000</v>
      </c>
      <c r="AI159" s="144">
        <v>3000</v>
      </c>
      <c r="AJ159" s="145">
        <v>0</v>
      </c>
      <c r="AK159" s="108"/>
    </row>
    <row r="160" spans="5:44">
      <c r="E160" s="146" t="str">
        <f>CONCATENATE("①",管材表!DC3,"　",管材表!DD3)</f>
        <v>①Yｽﾄﾚｰﾅ　15A</v>
      </c>
      <c r="F160" s="108">
        <v>1</v>
      </c>
      <c r="G160" s="146" t="str">
        <f>管材表!DE3</f>
        <v>個</v>
      </c>
      <c r="H160" s="152">
        <f>管材表!DF3</f>
        <v>6080</v>
      </c>
      <c r="I160" s="152">
        <f>管材表!DG3</f>
        <v>3950</v>
      </c>
      <c r="J160" s="151">
        <f>管材表!DH3</f>
        <v>0.08</v>
      </c>
      <c r="K160" s="108" t="s">
        <v>2304</v>
      </c>
      <c r="AE160" s="108" t="s">
        <v>2529</v>
      </c>
      <c r="AF160" s="108">
        <v>1</v>
      </c>
      <c r="AG160" s="108" t="s">
        <v>2299</v>
      </c>
      <c r="AH160" s="144">
        <v>35000</v>
      </c>
      <c r="AI160" s="144">
        <v>25000</v>
      </c>
      <c r="AJ160" s="145">
        <v>0</v>
      </c>
      <c r="AK160" s="108"/>
    </row>
    <row r="161" spans="5:37">
      <c r="E161" s="186" t="s">
        <v>2430</v>
      </c>
      <c r="F161" s="186">
        <v>1</v>
      </c>
      <c r="G161" s="186" t="s">
        <v>991</v>
      </c>
      <c r="H161" s="184">
        <f>管材表!FB9</f>
        <v>15500</v>
      </c>
      <c r="I161" s="184">
        <f>管材表!FC9</f>
        <v>2920</v>
      </c>
      <c r="J161" s="189">
        <v>0.1</v>
      </c>
      <c r="K161" s="186" t="s">
        <v>2342</v>
      </c>
      <c r="AE161" s="108" t="s">
        <v>2531</v>
      </c>
      <c r="AF161" s="108">
        <v>4</v>
      </c>
      <c r="AG161" s="108" t="s">
        <v>1824</v>
      </c>
      <c r="AH161" s="144">
        <v>28000</v>
      </c>
      <c r="AI161" s="144">
        <v>22000</v>
      </c>
      <c r="AJ161" s="145">
        <v>0</v>
      </c>
      <c r="AK161" s="108"/>
    </row>
    <row r="162" spans="5:37">
      <c r="E162" s="108" t="s">
        <v>2371</v>
      </c>
      <c r="F162" s="108">
        <v>1</v>
      </c>
      <c r="G162" s="108" t="s">
        <v>2299</v>
      </c>
      <c r="H162" s="144">
        <v>80000</v>
      </c>
      <c r="I162" s="144">
        <v>50000</v>
      </c>
      <c r="J162" s="145">
        <v>0</v>
      </c>
      <c r="K162" s="108"/>
      <c r="AE162" s="108" t="s">
        <v>2610</v>
      </c>
      <c r="AF162" s="108">
        <v>1</v>
      </c>
      <c r="AG162" s="108" t="s">
        <v>2299</v>
      </c>
      <c r="AH162" s="144">
        <v>165000</v>
      </c>
      <c r="AI162" s="144">
        <v>120000</v>
      </c>
      <c r="AJ162" s="145">
        <v>0</v>
      </c>
      <c r="AK162" s="108"/>
    </row>
    <row r="163" spans="5:37">
      <c r="E163" s="108" t="s">
        <v>2320</v>
      </c>
      <c r="F163" s="108">
        <v>1</v>
      </c>
      <c r="G163" s="108" t="s">
        <v>2290</v>
      </c>
      <c r="H163" s="148">
        <f>ROUND(項目表!$E$3*標準項!K163,-3)</f>
        <v>325000</v>
      </c>
      <c r="I163" s="148">
        <f>ROUND(項目表!$F$3*標準項!K163,-3)</f>
        <v>201000</v>
      </c>
      <c r="J163" s="145"/>
      <c r="K163" s="174">
        <v>6.85</v>
      </c>
      <c r="AE163" s="108" t="s">
        <v>2611</v>
      </c>
      <c r="AF163" s="108">
        <v>1</v>
      </c>
      <c r="AG163" s="108" t="s">
        <v>2299</v>
      </c>
      <c r="AH163" s="144">
        <v>120000</v>
      </c>
      <c r="AI163" s="144">
        <v>75000</v>
      </c>
      <c r="AJ163" s="145">
        <v>0</v>
      </c>
      <c r="AK163" s="108"/>
    </row>
    <row r="164" spans="5:37">
      <c r="E164" s="108" t="s">
        <v>2612</v>
      </c>
      <c r="F164" s="108">
        <v>12</v>
      </c>
      <c r="G164" s="108" t="s">
        <v>1833</v>
      </c>
      <c r="H164" s="28">
        <v>4220</v>
      </c>
      <c r="I164" s="28">
        <v>2820</v>
      </c>
      <c r="J164" s="145">
        <v>0</v>
      </c>
      <c r="K164" s="108" t="s">
        <v>2304</v>
      </c>
      <c r="AE164" s="108" t="s">
        <v>2613</v>
      </c>
      <c r="AF164" s="108">
        <v>1</v>
      </c>
      <c r="AG164" s="108" t="s">
        <v>2299</v>
      </c>
      <c r="AH164" s="144">
        <v>25000</v>
      </c>
      <c r="AI164" s="144">
        <v>15000</v>
      </c>
      <c r="AJ164" s="145">
        <v>0</v>
      </c>
      <c r="AK164" s="108"/>
    </row>
    <row r="165" spans="5:37">
      <c r="E165" s="108" t="s">
        <v>2575</v>
      </c>
      <c r="F165" s="108">
        <v>8</v>
      </c>
      <c r="G165" s="108" t="s">
        <v>1833</v>
      </c>
      <c r="H165" s="28">
        <v>3530</v>
      </c>
      <c r="I165" s="28">
        <v>2370</v>
      </c>
      <c r="J165" s="145">
        <v>0</v>
      </c>
      <c r="K165" s="108" t="s">
        <v>2304</v>
      </c>
      <c r="AE165" s="108" t="s">
        <v>2539</v>
      </c>
      <c r="AF165" s="108">
        <v>1</v>
      </c>
      <c r="AG165" s="108" t="s">
        <v>2299</v>
      </c>
      <c r="AH165" s="144">
        <v>220000</v>
      </c>
      <c r="AI165" s="144">
        <v>175000</v>
      </c>
      <c r="AJ165" s="145">
        <v>0</v>
      </c>
      <c r="AK165" s="108"/>
    </row>
    <row r="166" spans="5:37">
      <c r="E166" s="108" t="s">
        <v>2525</v>
      </c>
      <c r="F166" s="108">
        <v>1</v>
      </c>
      <c r="G166" s="108" t="s">
        <v>2299</v>
      </c>
      <c r="H166" s="144">
        <v>15000</v>
      </c>
      <c r="I166" s="144">
        <v>10000</v>
      </c>
      <c r="J166" s="145">
        <v>0</v>
      </c>
      <c r="K166" s="108">
        <v>0.4</v>
      </c>
      <c r="AE166" s="108" t="s">
        <v>2614</v>
      </c>
      <c r="AF166" s="108">
        <v>1</v>
      </c>
      <c r="AG166" s="108" t="s">
        <v>2299</v>
      </c>
      <c r="AH166" s="144">
        <v>225000</v>
      </c>
      <c r="AI166" s="144">
        <v>150000</v>
      </c>
      <c r="AJ166" s="145">
        <v>0</v>
      </c>
      <c r="AK166" s="108"/>
    </row>
    <row r="167" spans="5:37">
      <c r="E167" s="108" t="s">
        <v>2325</v>
      </c>
      <c r="F167" s="108">
        <v>1</v>
      </c>
      <c r="G167" s="108" t="s">
        <v>2299</v>
      </c>
      <c r="H167" s="148">
        <v>25000</v>
      </c>
      <c r="I167" s="148">
        <v>15000</v>
      </c>
      <c r="J167" s="145">
        <v>0</v>
      </c>
      <c r="K167" s="108"/>
      <c r="AE167" s="108" t="s">
        <v>2578</v>
      </c>
      <c r="AF167" s="108">
        <v>1</v>
      </c>
      <c r="AG167" s="108" t="s">
        <v>2299</v>
      </c>
      <c r="AH167" s="144">
        <v>250000</v>
      </c>
      <c r="AI167" s="144">
        <v>150000</v>
      </c>
      <c r="AJ167" s="145">
        <v>0</v>
      </c>
      <c r="AK167" s="108"/>
    </row>
    <row r="171" spans="5:37">
      <c r="AE171" s="51" t="s">
        <v>2615</v>
      </c>
    </row>
    <row r="172" spans="5:37">
      <c r="AE172" s="25" t="s">
        <v>2616</v>
      </c>
      <c r="AF172" s="25">
        <v>1</v>
      </c>
      <c r="AG172" s="25" t="s">
        <v>69</v>
      </c>
      <c r="AH172" s="28">
        <f>機器表!EE6</f>
        <v>330000</v>
      </c>
      <c r="AI172" s="28">
        <f>機器表!EF6</f>
        <v>139200</v>
      </c>
      <c r="AJ172" s="29">
        <f>機器表!EG6</f>
        <v>1</v>
      </c>
      <c r="AK172" s="25" t="s">
        <v>2333</v>
      </c>
    </row>
    <row r="173" spans="5:37">
      <c r="E173" s="51" t="s">
        <v>658</v>
      </c>
      <c r="AE173" s="25" t="s">
        <v>2289</v>
      </c>
      <c r="AF173" s="25">
        <v>1</v>
      </c>
      <c r="AG173" s="25" t="s">
        <v>49</v>
      </c>
      <c r="AH173" s="73">
        <f>ROUND(項目表!$E$3*標準項!AK173,-3)</f>
        <v>48000</v>
      </c>
      <c r="AI173" s="73">
        <f>ROUND(項目表!$F$3*標準項!AK173,-3)</f>
        <v>29000</v>
      </c>
      <c r="AK173" s="95">
        <v>1</v>
      </c>
    </row>
    <row r="174" spans="5:37">
      <c r="E174" s="146" t="str">
        <f>CONCATENATE("○",機器表!AB13,"　",機器表!AC13)</f>
        <v>○ﾊｳｽﾎﾞｲﾗ　HB-4007TA</v>
      </c>
      <c r="F174" s="108">
        <v>1</v>
      </c>
      <c r="G174" s="147" t="str">
        <f>機器表!AD13</f>
        <v>台</v>
      </c>
      <c r="H174" s="36">
        <f>機器表!AE13</f>
        <v>3581000</v>
      </c>
      <c r="I174" s="36">
        <f>機器表!AF13</f>
        <v>1317910</v>
      </c>
      <c r="J174" s="56">
        <f>機器表!AG13</f>
        <v>4</v>
      </c>
      <c r="K174" s="108" t="s">
        <v>2280</v>
      </c>
      <c r="AE174" s="25" t="s">
        <v>2356</v>
      </c>
      <c r="AF174" s="25">
        <v>1</v>
      </c>
      <c r="AG174" s="25" t="s">
        <v>49</v>
      </c>
      <c r="AH174" s="73">
        <f>ROUND(項目表!$E$3*標準項!AK174,-3)</f>
        <v>25000</v>
      </c>
      <c r="AI174" s="73">
        <f>ROUND(項目表!$F$3*標準項!AK174,-3)</f>
        <v>15000</v>
      </c>
      <c r="AK174" s="76">
        <v>0.52</v>
      </c>
    </row>
    <row r="175" spans="5:37">
      <c r="E175" s="108" t="s">
        <v>2289</v>
      </c>
      <c r="F175" s="108">
        <v>1</v>
      </c>
      <c r="G175" s="108" t="s">
        <v>2290</v>
      </c>
      <c r="H175" s="148">
        <f>ROUND(項目表!E3*標準項!K175,-3)</f>
        <v>143000</v>
      </c>
      <c r="I175" s="148">
        <f>ROUND(項目表!F3*標準項!K175,-3)</f>
        <v>88000</v>
      </c>
      <c r="J175" s="145"/>
      <c r="K175" s="149">
        <v>3</v>
      </c>
      <c r="AE175" s="39" t="str">
        <f>CONCATENATE("①",管材表!K8,"　",管材表!L8)</f>
        <v>①SGP鋼管(白)　50A</v>
      </c>
      <c r="AF175" s="25">
        <v>4</v>
      </c>
      <c r="AG175" s="39" t="str">
        <f>管材表!M8</f>
        <v>m</v>
      </c>
      <c r="AH175" s="37">
        <f>管材表!N8</f>
        <v>9480</v>
      </c>
      <c r="AI175" s="37">
        <f>管材表!O8</f>
        <v>5020</v>
      </c>
      <c r="AJ175" s="57">
        <f>管材表!P8</f>
        <v>0.28999999999999998</v>
      </c>
      <c r="AK175" s="25" t="s">
        <v>2342</v>
      </c>
    </row>
    <row r="176" spans="5:37">
      <c r="E176" s="39" t="str">
        <f>CONCATENATE("③",電材表!Q19,"　",電材表!R19)</f>
        <v>③不完全燃焼警報器　SG-35</v>
      </c>
      <c r="F176" s="108">
        <v>1</v>
      </c>
      <c r="G176" s="146" t="str">
        <f>電材表!S19</f>
        <v>個</v>
      </c>
      <c r="H176" s="37">
        <f>電材表!T19</f>
        <v>85800</v>
      </c>
      <c r="I176" s="37">
        <f>電材表!U19</f>
        <v>31120</v>
      </c>
      <c r="J176" s="57">
        <f>電材表!V19</f>
        <v>0</v>
      </c>
      <c r="K176" s="25" t="s">
        <v>2295</v>
      </c>
      <c r="AE176" s="174" t="str">
        <f>CONCATENATE("①",管材表!AA5,"　",管材表!AB5)</f>
        <v>①外面被覆鋼管　25A</v>
      </c>
      <c r="AF176" s="174">
        <v>16</v>
      </c>
      <c r="AG176" s="148" t="str">
        <f>管材表!AC5</f>
        <v>m</v>
      </c>
      <c r="AH176" s="148">
        <f>管材表!AD5</f>
        <v>3680</v>
      </c>
      <c r="AI176" s="148">
        <f>管材表!AE5</f>
        <v>2760</v>
      </c>
      <c r="AJ176" s="177">
        <f>管材表!AF5</f>
        <v>0.17</v>
      </c>
      <c r="AK176" s="108" t="s">
        <v>2304</v>
      </c>
    </row>
    <row r="177" spans="5:37">
      <c r="E177" s="146" t="str">
        <f>CONCATENATE("○",機器表!EJ51,"　",機器表!EK51)</f>
        <v>○煙道延長ｾｯﾄ　BEA-DA-900</v>
      </c>
      <c r="F177" s="108">
        <v>1</v>
      </c>
      <c r="G177" s="39" t="str">
        <f>機器表!EL51</f>
        <v>ｾｯﾄ</v>
      </c>
      <c r="H177" s="37">
        <f>機器表!EM51</f>
        <v>165600</v>
      </c>
      <c r="I177" s="37">
        <f>機器表!EN51</f>
        <v>21800</v>
      </c>
      <c r="J177" s="57">
        <f>機器表!EO51</f>
        <v>0.4</v>
      </c>
      <c r="K177" s="108" t="s">
        <v>2280</v>
      </c>
      <c r="AE177" s="25" t="s">
        <v>2617</v>
      </c>
      <c r="AF177" s="25">
        <v>1</v>
      </c>
      <c r="AG177" s="25" t="s">
        <v>81</v>
      </c>
      <c r="AH177" s="28">
        <f>管材表!DV5</f>
        <v>5700</v>
      </c>
      <c r="AI177" s="28">
        <f>管材表!DW5</f>
        <v>2620</v>
      </c>
      <c r="AJ177" s="29">
        <f>管材表!DX5</f>
        <v>0.14000000000000001</v>
      </c>
      <c r="AK177" s="25" t="s">
        <v>2342</v>
      </c>
    </row>
    <row r="178" spans="5:37">
      <c r="E178" s="108" t="s">
        <v>2618</v>
      </c>
      <c r="F178" s="108">
        <v>1</v>
      </c>
      <c r="G178" s="108" t="s">
        <v>2593</v>
      </c>
      <c r="H178" s="144">
        <v>228800</v>
      </c>
      <c r="I178" s="144">
        <v>103000</v>
      </c>
      <c r="J178" s="145">
        <v>1.5</v>
      </c>
      <c r="K178" s="108" t="s">
        <v>2280</v>
      </c>
      <c r="AE178" s="39" t="str">
        <f>CONCATENATE("①",管材表!CM8,"　",管材表!CN8)</f>
        <v>①ﾏﾚｰﾌﾞﾙ弁　50A</v>
      </c>
      <c r="AF178" s="25">
        <v>1</v>
      </c>
      <c r="AG178" s="39" t="str">
        <f>管材表!CO8</f>
        <v>個</v>
      </c>
      <c r="AH178" s="37">
        <f>管材表!CP8</f>
        <v>41100</v>
      </c>
      <c r="AI178" s="37">
        <f>管材表!CQ8</f>
        <v>26720</v>
      </c>
      <c r="AJ178" s="57">
        <f>管材表!CR8</f>
        <v>0.18</v>
      </c>
      <c r="AK178" s="25" t="s">
        <v>2342</v>
      </c>
    </row>
    <row r="179" spans="5:37">
      <c r="E179" s="108" t="s">
        <v>2318</v>
      </c>
      <c r="F179" s="108">
        <v>1</v>
      </c>
      <c r="G179" s="108" t="s">
        <v>2299</v>
      </c>
      <c r="H179" s="144">
        <v>20000</v>
      </c>
      <c r="I179" s="144">
        <v>14000</v>
      </c>
      <c r="J179" s="145"/>
      <c r="K179" s="108">
        <v>0.53</v>
      </c>
      <c r="AE179" s="39" t="str">
        <f>CONCATENATE("①",管材表!CM5,"　",管材表!CN5)</f>
        <v>①ﾏﾚｰﾌﾞﾙ弁　25A</v>
      </c>
      <c r="AF179" s="25">
        <v>3</v>
      </c>
      <c r="AG179" s="39" t="str">
        <f>管材表!CO5</f>
        <v>個</v>
      </c>
      <c r="AH179" s="37">
        <f>管材表!CP5</f>
        <v>17500</v>
      </c>
      <c r="AI179" s="37">
        <f>管材表!CQ5</f>
        <v>11380</v>
      </c>
      <c r="AJ179" s="57">
        <f>管材表!CR5</f>
        <v>0.12</v>
      </c>
      <c r="AK179" s="25" t="s">
        <v>2342</v>
      </c>
    </row>
    <row r="180" spans="5:37">
      <c r="E180" s="108" t="s">
        <v>2323</v>
      </c>
      <c r="F180" s="108">
        <v>1</v>
      </c>
      <c r="G180" s="108" t="s">
        <v>2290</v>
      </c>
      <c r="H180" s="148">
        <f>ROUND(項目表!$E$3*標準項!K180,-3)</f>
        <v>90000</v>
      </c>
      <c r="I180" s="148">
        <f>ROUND(項目表!$F$3*標準項!K180,-3)</f>
        <v>56000</v>
      </c>
      <c r="J180" s="145"/>
      <c r="K180" s="157">
        <v>1.9</v>
      </c>
      <c r="AE180" s="25" t="s">
        <v>2619</v>
      </c>
      <c r="AF180" s="25">
        <v>1</v>
      </c>
      <c r="AG180" s="25" t="s">
        <v>77</v>
      </c>
      <c r="AH180" s="28">
        <f>管材表!FB10</f>
        <v>15000</v>
      </c>
      <c r="AI180" s="28">
        <f>管材表!FC10</f>
        <v>10000</v>
      </c>
    </row>
    <row r="181" spans="5:37">
      <c r="E181" s="108" t="s">
        <v>2551</v>
      </c>
      <c r="F181" s="108">
        <v>1</v>
      </c>
      <c r="G181" s="108" t="s">
        <v>2299</v>
      </c>
      <c r="H181" s="144">
        <v>50000</v>
      </c>
      <c r="I181" s="144">
        <v>35000</v>
      </c>
      <c r="J181" s="145"/>
      <c r="K181" s="108"/>
      <c r="AE181" s="25" t="s">
        <v>2371</v>
      </c>
      <c r="AF181" s="25">
        <v>1</v>
      </c>
      <c r="AG181" s="25" t="s">
        <v>49</v>
      </c>
      <c r="AH181" s="73">
        <v>9000</v>
      </c>
      <c r="AI181" s="73">
        <v>5000</v>
      </c>
    </row>
    <row r="182" spans="5:37">
      <c r="E182" s="146" t="str">
        <f>CONCATENATE("○",機器表!CV29,"　",機器表!CW29)</f>
        <v>○ﾗｲﾝﾎﾟﾝﾌﾟ　50Hz φ80 3.7kW</v>
      </c>
      <c r="F182" s="174">
        <v>1</v>
      </c>
      <c r="G182" s="155" t="str">
        <f>機器表!CX16</f>
        <v>台</v>
      </c>
      <c r="H182" s="152">
        <f>機器表!CY23</f>
        <v>362000</v>
      </c>
      <c r="I182" s="152">
        <f>機器表!CZ23</f>
        <v>191860</v>
      </c>
      <c r="J182" s="151">
        <f>機器表!DA23</f>
        <v>0.8</v>
      </c>
      <c r="K182" s="108" t="s">
        <v>2280</v>
      </c>
      <c r="AE182" s="126" t="s">
        <v>2382</v>
      </c>
      <c r="AF182" s="174">
        <v>1</v>
      </c>
      <c r="AG182" s="174" t="s">
        <v>2299</v>
      </c>
      <c r="AH182" s="73">
        <v>15000</v>
      </c>
      <c r="AI182" s="73">
        <v>8000</v>
      </c>
    </row>
    <row r="183" spans="5:37">
      <c r="E183" s="108" t="s">
        <v>2308</v>
      </c>
      <c r="F183" s="108">
        <v>1</v>
      </c>
      <c r="G183" s="108" t="s">
        <v>2290</v>
      </c>
      <c r="H183" s="148">
        <f>ROUND(項目表!$E$3*標準項!K183,-3)</f>
        <v>38000</v>
      </c>
      <c r="I183" s="148">
        <f>ROUND(項目表!$F$3*標準項!K183,-3)</f>
        <v>24000</v>
      </c>
      <c r="J183" s="145"/>
      <c r="K183" s="157">
        <v>0.8</v>
      </c>
      <c r="AE183" s="25" t="s">
        <v>2320</v>
      </c>
      <c r="AF183" s="25">
        <v>1</v>
      </c>
      <c r="AG183" s="25" t="s">
        <v>49</v>
      </c>
      <c r="AH183" s="73">
        <f>ROUND(項目表!$E$3*標準項!AK183,-3)</f>
        <v>162000</v>
      </c>
      <c r="AI183" s="73">
        <f>ROUND(項目表!$F$3*標準項!AK183,-3)</f>
        <v>101000</v>
      </c>
      <c r="AK183" s="126">
        <v>3.42</v>
      </c>
    </row>
    <row r="184" spans="5:37">
      <c r="E184" s="146" t="str">
        <f>CONCATENATE("①",管材表!K10,"　",管材表!L10)</f>
        <v>①SGP鋼管(白)　80A</v>
      </c>
      <c r="F184" s="108">
        <v>12</v>
      </c>
      <c r="G184" s="146" t="str">
        <f>管材表!M10</f>
        <v>m</v>
      </c>
      <c r="H184" s="152">
        <f>管材表!N10</f>
        <v>16220</v>
      </c>
      <c r="I184" s="152">
        <f>管材表!O10</f>
        <v>8590</v>
      </c>
      <c r="J184" s="151">
        <f>管材表!P10</f>
        <v>0.42</v>
      </c>
      <c r="K184" s="108" t="s">
        <v>2304</v>
      </c>
      <c r="AE184" s="25" t="s">
        <v>2325</v>
      </c>
      <c r="AF184" s="25">
        <v>1</v>
      </c>
      <c r="AG184" s="25" t="s">
        <v>49</v>
      </c>
      <c r="AH184" s="28">
        <v>12000</v>
      </c>
      <c r="AI184" s="28">
        <v>5000</v>
      </c>
    </row>
    <row r="185" spans="5:37">
      <c r="E185" s="146" t="str">
        <f>CONCATENATE("①",管材表!K8,"　",管材表!L8)</f>
        <v>①SGP鋼管(白)　50A</v>
      </c>
      <c r="F185" s="108">
        <v>8</v>
      </c>
      <c r="G185" s="146" t="str">
        <f>管材表!M8</f>
        <v>m</v>
      </c>
      <c r="H185" s="152">
        <f>管材表!N8</f>
        <v>9480</v>
      </c>
      <c r="I185" s="152">
        <f>管材表!O8</f>
        <v>5020</v>
      </c>
      <c r="J185" s="151">
        <f>管材表!P8</f>
        <v>0.28999999999999998</v>
      </c>
      <c r="K185" s="108" t="s">
        <v>2304</v>
      </c>
    </row>
    <row r="186" spans="5:37">
      <c r="E186" s="146" t="str">
        <f>CONCATENATE("①",管材表!K7,"　",管材表!L7)</f>
        <v>①SGP鋼管(白)　40A</v>
      </c>
      <c r="F186" s="108">
        <v>8</v>
      </c>
      <c r="G186" s="146" t="str">
        <f>管材表!M7</f>
        <v>m</v>
      </c>
      <c r="H186" s="152">
        <f>管材表!N7</f>
        <v>6910</v>
      </c>
      <c r="I186" s="152">
        <f>管材表!O7</f>
        <v>3660</v>
      </c>
      <c r="J186" s="151">
        <f>管材表!P7</f>
        <v>0.23</v>
      </c>
      <c r="K186" s="108" t="s">
        <v>2304</v>
      </c>
    </row>
    <row r="187" spans="5:37">
      <c r="E187" s="146" t="str">
        <f>CONCATENATE("①",管材表!K3,"　",管材表!L3)</f>
        <v>①SGP鋼管(白)　15A</v>
      </c>
      <c r="F187" s="108">
        <v>4</v>
      </c>
      <c r="G187" s="146" t="str">
        <f>管材表!M3</f>
        <v>m</v>
      </c>
      <c r="H187" s="152">
        <f>管材表!N3</f>
        <v>2650</v>
      </c>
      <c r="I187" s="152">
        <f>管材表!O3</f>
        <v>1410</v>
      </c>
      <c r="J187" s="151">
        <f>管材表!P3</f>
        <v>0.12</v>
      </c>
      <c r="K187" s="108" t="s">
        <v>2304</v>
      </c>
    </row>
    <row r="188" spans="5:37">
      <c r="E188" s="146" t="str">
        <f>CONCATENATE("①",管材表!BW5,"　",管材表!BX5)</f>
        <v>①ﾊﾞﾀﾌﾗｲ弁　80A(ｳｴﾊ)</v>
      </c>
      <c r="F188" s="174">
        <v>3</v>
      </c>
      <c r="G188" s="146" t="str">
        <f>管材表!BY5</f>
        <v>個</v>
      </c>
      <c r="H188" s="152">
        <f>管材表!BZ5</f>
        <v>33000</v>
      </c>
      <c r="I188" s="152">
        <f>管材表!CA5</f>
        <v>21450</v>
      </c>
      <c r="J188" s="151">
        <f>管材表!CB5</f>
        <v>0.23</v>
      </c>
      <c r="K188" s="108" t="s">
        <v>2304</v>
      </c>
      <c r="AE188" s="51" t="s">
        <v>2620</v>
      </c>
      <c r="AF188" s="186"/>
    </row>
    <row r="189" spans="5:37">
      <c r="E189" s="146" t="str">
        <f>CONCATENATE("①",管材表!BG7,"　",管材表!BH7)</f>
        <v>①ｹﾞｰﾄ弁　40A</v>
      </c>
      <c r="F189" s="108">
        <v>1</v>
      </c>
      <c r="G189" s="146" t="str">
        <f>管材表!BI7</f>
        <v>個</v>
      </c>
      <c r="H189" s="152">
        <f>管材表!BJ7</f>
        <v>26700</v>
      </c>
      <c r="I189" s="152">
        <f>管材表!BK7</f>
        <v>17360</v>
      </c>
      <c r="J189" s="151">
        <f>管材表!BL7</f>
        <v>0.16</v>
      </c>
      <c r="K189" s="108" t="s">
        <v>2304</v>
      </c>
      <c r="AE189" s="25" t="s">
        <v>2621</v>
      </c>
      <c r="AF189" s="25">
        <v>1</v>
      </c>
      <c r="AG189" s="25" t="s">
        <v>2345</v>
      </c>
      <c r="AH189" s="28">
        <f>機器表!EE5</f>
        <v>119900</v>
      </c>
      <c r="AI189" s="28">
        <f>機器表!EF5</f>
        <v>52990</v>
      </c>
      <c r="AJ189" s="29">
        <v>0.3</v>
      </c>
      <c r="AK189" s="25" t="s">
        <v>2280</v>
      </c>
    </row>
    <row r="190" spans="5:37">
      <c r="E190" s="146" t="str">
        <f>CONCATENATE("①",管材表!BG3,"　",管材表!BH3)</f>
        <v>①ｹﾞｰﾄ弁　15A</v>
      </c>
      <c r="F190" s="108">
        <v>2</v>
      </c>
      <c r="G190" s="146" t="str">
        <f>管材表!BI3</f>
        <v>個</v>
      </c>
      <c r="H190" s="152">
        <f>管材表!BJ3</f>
        <v>6510</v>
      </c>
      <c r="I190" s="152">
        <f>管材表!BK3</f>
        <v>4230</v>
      </c>
      <c r="J190" s="151">
        <f>管材表!BL3</f>
        <v>0.08</v>
      </c>
      <c r="K190" s="108" t="s">
        <v>2304</v>
      </c>
      <c r="AE190" s="25" t="s">
        <v>2291</v>
      </c>
      <c r="AF190" s="25">
        <v>1</v>
      </c>
      <c r="AG190" s="25" t="s">
        <v>2299</v>
      </c>
      <c r="AH190" s="28">
        <f>ROUND(項目表!$E$3*標準項!AK190,-3)</f>
        <v>14000</v>
      </c>
      <c r="AI190" s="28">
        <f>ROUND(項目表!$F$3*標準項!AK190,-3)</f>
        <v>9000</v>
      </c>
      <c r="AK190" s="25">
        <v>0.3</v>
      </c>
    </row>
    <row r="191" spans="5:37">
      <c r="E191" s="174" t="str">
        <f>CONCATENATE("①",管材表!BO12,"　",管材表!BP12)</f>
        <v>①ﾁｬｯｷ弁　80A(ｳｴﾊ)</v>
      </c>
      <c r="F191" s="174">
        <v>1</v>
      </c>
      <c r="G191" s="174" t="str">
        <f>管材表!BQ11</f>
        <v>個</v>
      </c>
      <c r="H191" s="148">
        <f>管材表!BR12</f>
        <v>143000</v>
      </c>
      <c r="I191" s="148">
        <f>管材表!BS12</f>
        <v>92950</v>
      </c>
      <c r="J191" s="175">
        <f>管材表!BT12</f>
        <v>0.39</v>
      </c>
      <c r="K191" s="108" t="s">
        <v>2304</v>
      </c>
      <c r="AE191" s="25" t="s">
        <v>2289</v>
      </c>
      <c r="AF191" s="25">
        <v>1</v>
      </c>
      <c r="AG191" s="25" t="s">
        <v>2299</v>
      </c>
      <c r="AH191" s="28">
        <f>ROUND(項目表!$E$3*標準項!AK191,-3)</f>
        <v>14000</v>
      </c>
      <c r="AI191" s="28">
        <f>ROUND(項目表!$F$3*標準項!AK191,-3)</f>
        <v>9000</v>
      </c>
      <c r="AK191" s="25">
        <v>0.3</v>
      </c>
    </row>
    <row r="192" spans="5:37">
      <c r="E192" s="146" t="str">
        <f>CONCATENATE("①",管材表!DC3,"　",管材表!DD3)</f>
        <v>①Yｽﾄﾚｰﾅ　15A</v>
      </c>
      <c r="F192" s="108">
        <v>1</v>
      </c>
      <c r="G192" s="146" t="str">
        <f>管材表!DE3</f>
        <v>個</v>
      </c>
      <c r="H192" s="152">
        <f>管材表!DF3</f>
        <v>6080</v>
      </c>
      <c r="I192" s="152">
        <f>管材表!DG3</f>
        <v>3950</v>
      </c>
      <c r="J192" s="151">
        <f>管材表!DH3</f>
        <v>0.08</v>
      </c>
      <c r="K192" s="108" t="s">
        <v>2304</v>
      </c>
      <c r="AE192" s="32" t="s">
        <v>2622</v>
      </c>
      <c r="AF192" s="25">
        <v>1</v>
      </c>
      <c r="AG192" s="25" t="s">
        <v>2623</v>
      </c>
      <c r="AH192" s="28">
        <f>機器表!EE25</f>
        <v>233300</v>
      </c>
      <c r="AI192" s="28">
        <f>機器表!EF25</f>
        <v>116650</v>
      </c>
      <c r="AJ192" s="29">
        <f>機器表!EG25</f>
        <v>2.2999999999999998</v>
      </c>
    </row>
    <row r="193" spans="5:37">
      <c r="E193" s="186" t="s">
        <v>2430</v>
      </c>
      <c r="F193" s="186">
        <v>1</v>
      </c>
      <c r="G193" s="186" t="s">
        <v>991</v>
      </c>
      <c r="H193" s="184">
        <f>管材表!FB9</f>
        <v>15500</v>
      </c>
      <c r="I193" s="184">
        <f>管材表!FC9</f>
        <v>2920</v>
      </c>
      <c r="J193" s="189">
        <v>0.1</v>
      </c>
      <c r="K193" s="186" t="s">
        <v>2342</v>
      </c>
      <c r="AE193" s="25" t="s">
        <v>2289</v>
      </c>
      <c r="AF193" s="25">
        <v>1</v>
      </c>
      <c r="AG193" s="25" t="s">
        <v>2299</v>
      </c>
      <c r="AH193" s="28">
        <f>ROUND(項目表!$E$3*標準項!AK193,-3)</f>
        <v>109000</v>
      </c>
      <c r="AI193" s="28">
        <f>ROUND(項目表!$F$3*標準項!AK193,-3)</f>
        <v>68000</v>
      </c>
      <c r="AK193" s="25">
        <v>2.2999999999999998</v>
      </c>
    </row>
    <row r="194" spans="5:37">
      <c r="E194" s="108" t="s">
        <v>2371</v>
      </c>
      <c r="F194" s="108">
        <v>1</v>
      </c>
      <c r="G194" s="108" t="s">
        <v>2299</v>
      </c>
      <c r="H194" s="144">
        <v>80000</v>
      </c>
      <c r="I194" s="144">
        <v>50000</v>
      </c>
      <c r="J194" s="145">
        <v>0</v>
      </c>
      <c r="K194" s="108"/>
      <c r="AE194" s="25" t="s">
        <v>2624</v>
      </c>
      <c r="AF194" s="25">
        <v>16</v>
      </c>
      <c r="AG194" s="25" t="s">
        <v>1795</v>
      </c>
      <c r="AH194" s="28">
        <f>管材表!N5</f>
        <v>4540</v>
      </c>
      <c r="AI194" s="28">
        <f>管材表!O5</f>
        <v>2400</v>
      </c>
      <c r="AJ194" s="29">
        <f>管材表!P5</f>
        <v>0.17</v>
      </c>
      <c r="AK194" s="25" t="s">
        <v>2304</v>
      </c>
    </row>
    <row r="195" spans="5:37">
      <c r="E195" s="108" t="s">
        <v>2320</v>
      </c>
      <c r="F195" s="108">
        <v>1</v>
      </c>
      <c r="G195" s="108" t="s">
        <v>2290</v>
      </c>
      <c r="H195" s="148">
        <f>ROUND(項目表!$E$3*標準項!K195,-3)</f>
        <v>325000</v>
      </c>
      <c r="I195" s="148">
        <f>ROUND(項目表!$F$3*標準項!K195,-3)</f>
        <v>201000</v>
      </c>
      <c r="J195" s="145"/>
      <c r="K195" s="174">
        <v>6.85</v>
      </c>
      <c r="AE195" s="25" t="s">
        <v>2617</v>
      </c>
      <c r="AF195" s="25">
        <v>1</v>
      </c>
      <c r="AG195" s="25" t="s">
        <v>1821</v>
      </c>
      <c r="AH195" s="28">
        <f>管材表!DV5</f>
        <v>5700</v>
      </c>
      <c r="AI195" s="28">
        <f>管材表!DW5</f>
        <v>2620</v>
      </c>
      <c r="AJ195" s="29">
        <f>管材表!DX5</f>
        <v>0.14000000000000001</v>
      </c>
      <c r="AK195" s="25" t="s">
        <v>2304</v>
      </c>
    </row>
    <row r="196" spans="5:37">
      <c r="E196" s="108" t="s">
        <v>2612</v>
      </c>
      <c r="F196" s="108">
        <v>12</v>
      </c>
      <c r="G196" s="108" t="s">
        <v>1833</v>
      </c>
      <c r="H196" s="28">
        <v>4220</v>
      </c>
      <c r="I196" s="28">
        <v>2820</v>
      </c>
      <c r="J196" s="145">
        <v>0</v>
      </c>
      <c r="K196" s="108" t="s">
        <v>2304</v>
      </c>
      <c r="AE196" s="25" t="s">
        <v>2625</v>
      </c>
      <c r="AF196" s="25">
        <v>3</v>
      </c>
      <c r="AG196" s="25" t="s">
        <v>1824</v>
      </c>
      <c r="AH196" s="28">
        <f>管材表!CP5</f>
        <v>17500</v>
      </c>
      <c r="AI196" s="28">
        <f>管材表!CQ5</f>
        <v>11380</v>
      </c>
      <c r="AJ196" s="29">
        <f>管材表!CR5</f>
        <v>0.12</v>
      </c>
      <c r="AK196" s="25" t="s">
        <v>2304</v>
      </c>
    </row>
    <row r="197" spans="5:37">
      <c r="E197" s="108" t="s">
        <v>2575</v>
      </c>
      <c r="F197" s="108">
        <v>8</v>
      </c>
      <c r="G197" s="108" t="s">
        <v>1833</v>
      </c>
      <c r="H197" s="28">
        <v>3530</v>
      </c>
      <c r="I197" s="28">
        <v>2370</v>
      </c>
      <c r="J197" s="145">
        <v>0</v>
      </c>
      <c r="K197" s="108" t="s">
        <v>2304</v>
      </c>
      <c r="AE197" s="25" t="s">
        <v>2626</v>
      </c>
      <c r="AF197" s="25">
        <v>1</v>
      </c>
      <c r="AG197" s="25" t="s">
        <v>1824</v>
      </c>
      <c r="AH197" s="194">
        <f>管材表!FB8</f>
        <v>18000</v>
      </c>
      <c r="AI197" s="194">
        <f>管材表!FC8</f>
        <v>4600</v>
      </c>
      <c r="AJ197" s="29">
        <f>管材表!FD8</f>
        <v>0.2</v>
      </c>
      <c r="AK197" s="25" t="s">
        <v>2304</v>
      </c>
    </row>
    <row r="198" spans="5:37">
      <c r="E198" s="108" t="s">
        <v>2525</v>
      </c>
      <c r="F198" s="108">
        <v>1</v>
      </c>
      <c r="G198" s="108" t="s">
        <v>2299</v>
      </c>
      <c r="H198" s="144">
        <v>15000</v>
      </c>
      <c r="I198" s="144">
        <v>10000</v>
      </c>
      <c r="J198" s="145">
        <v>0</v>
      </c>
      <c r="K198" s="108">
        <v>0.4</v>
      </c>
      <c r="AE198" s="25" t="s">
        <v>2347</v>
      </c>
      <c r="AF198" s="25">
        <v>1</v>
      </c>
      <c r="AG198" s="25" t="s">
        <v>2299</v>
      </c>
      <c r="AH198" s="28">
        <v>9000</v>
      </c>
      <c r="AI198" s="28">
        <v>5000</v>
      </c>
    </row>
    <row r="199" spans="5:37">
      <c r="E199" s="108" t="s">
        <v>2325</v>
      </c>
      <c r="F199" s="108">
        <v>1</v>
      </c>
      <c r="G199" s="108" t="s">
        <v>2299</v>
      </c>
      <c r="H199" s="148">
        <v>25000</v>
      </c>
      <c r="I199" s="148">
        <v>15000</v>
      </c>
      <c r="J199" s="145">
        <v>0</v>
      </c>
      <c r="K199" s="108"/>
      <c r="AE199" s="25" t="s">
        <v>2320</v>
      </c>
      <c r="AF199" s="25">
        <v>1</v>
      </c>
      <c r="AG199" s="25" t="s">
        <v>2299</v>
      </c>
      <c r="AH199" s="28">
        <f>ROUND(項目表!$E$3*標準項!AK199,-3)</f>
        <v>162000</v>
      </c>
      <c r="AI199" s="28">
        <f>ROUND(項目表!$F$3*標準項!AK199,-3)</f>
        <v>101000</v>
      </c>
      <c r="AK199" s="25">
        <v>3.42</v>
      </c>
    </row>
    <row r="200" spans="5:37">
      <c r="AE200" s="25" t="s">
        <v>2325</v>
      </c>
      <c r="AF200" s="25">
        <v>1</v>
      </c>
      <c r="AG200" s="25" t="s">
        <v>2299</v>
      </c>
      <c r="AH200" s="28">
        <v>10000</v>
      </c>
      <c r="AI200" s="28">
        <v>5000</v>
      </c>
    </row>
    <row r="204" spans="5:37">
      <c r="AE204" s="51" t="s">
        <v>2627</v>
      </c>
      <c r="AF204" s="186"/>
    </row>
    <row r="205" spans="5:37">
      <c r="AE205" s="25" t="s">
        <v>2628</v>
      </c>
      <c r="AF205" s="25">
        <v>1</v>
      </c>
      <c r="AG205" s="25" t="s">
        <v>2623</v>
      </c>
      <c r="AH205" s="28">
        <f>機器表!EE21</f>
        <v>100300</v>
      </c>
      <c r="AI205" s="28">
        <f>機器表!EF21</f>
        <v>40200</v>
      </c>
      <c r="AJ205" s="29">
        <v>0.3</v>
      </c>
    </row>
    <row r="206" spans="5:37">
      <c r="AE206" s="25" t="s">
        <v>2291</v>
      </c>
      <c r="AF206" s="25">
        <v>1</v>
      </c>
      <c r="AG206" s="25" t="s">
        <v>2299</v>
      </c>
      <c r="AH206" s="28">
        <f>ROUND(項目表!$E$3*標準項!AK206,-3)</f>
        <v>14000</v>
      </c>
      <c r="AI206" s="28">
        <f>ROUND(項目表!$F$3*標準項!AK206,-3)</f>
        <v>9000</v>
      </c>
      <c r="AK206" s="25">
        <v>0.3</v>
      </c>
    </row>
    <row r="207" spans="5:37">
      <c r="AE207" s="25" t="s">
        <v>2289</v>
      </c>
      <c r="AF207" s="25">
        <v>1</v>
      </c>
      <c r="AG207" s="25" t="s">
        <v>2299</v>
      </c>
      <c r="AH207" s="28">
        <f>ROUND(項目表!$E$3*標準項!AK207,-3)</f>
        <v>14000</v>
      </c>
      <c r="AI207" s="28">
        <f>ROUND(項目表!$F$3*標準項!AK207,-3)</f>
        <v>9000</v>
      </c>
      <c r="AK207" s="25">
        <v>0.3</v>
      </c>
    </row>
    <row r="208" spans="5:37">
      <c r="AE208" s="32" t="s">
        <v>2629</v>
      </c>
      <c r="AF208" s="25">
        <v>1</v>
      </c>
      <c r="AG208" s="25" t="s">
        <v>2623</v>
      </c>
      <c r="AH208" s="28">
        <f>機器表!EE24</f>
        <v>128400</v>
      </c>
      <c r="AI208" s="28">
        <f>機器表!EF24</f>
        <v>77040</v>
      </c>
      <c r="AJ208" s="29">
        <f>機器表!EG24</f>
        <v>2.2999999999999998</v>
      </c>
    </row>
    <row r="209" spans="31:37">
      <c r="AE209" s="25" t="s">
        <v>2289</v>
      </c>
      <c r="AF209" s="25">
        <v>1</v>
      </c>
      <c r="AG209" s="25" t="s">
        <v>2299</v>
      </c>
      <c r="AH209" s="28">
        <f>ROUND(項目表!$E$3*標準項!AK209,-3)</f>
        <v>109000</v>
      </c>
      <c r="AI209" s="28">
        <f>ROUND(項目表!$F$3*標準項!AK209,-3)</f>
        <v>68000</v>
      </c>
      <c r="AK209" s="25">
        <v>2.2999999999999998</v>
      </c>
    </row>
    <row r="210" spans="31:37">
      <c r="AE210" s="25" t="s">
        <v>2624</v>
      </c>
      <c r="AF210" s="25">
        <v>16</v>
      </c>
      <c r="AG210" s="25" t="s">
        <v>1795</v>
      </c>
      <c r="AH210" s="28">
        <f>管材表!N5</f>
        <v>4540</v>
      </c>
      <c r="AI210" s="28">
        <f>管材表!O5</f>
        <v>2400</v>
      </c>
      <c r="AJ210" s="29">
        <f>管材表!P5</f>
        <v>0.17</v>
      </c>
      <c r="AK210" s="25" t="s">
        <v>2304</v>
      </c>
    </row>
    <row r="211" spans="31:37">
      <c r="AE211" s="25" t="s">
        <v>2617</v>
      </c>
      <c r="AF211" s="25">
        <v>1</v>
      </c>
      <c r="AG211" s="25" t="s">
        <v>1821</v>
      </c>
      <c r="AH211" s="28">
        <f>管材表!DV5</f>
        <v>5700</v>
      </c>
      <c r="AI211" s="28">
        <f>管材表!DW5</f>
        <v>2620</v>
      </c>
      <c r="AJ211" s="29">
        <f>管材表!DX5</f>
        <v>0.14000000000000001</v>
      </c>
      <c r="AK211" s="25" t="s">
        <v>2304</v>
      </c>
    </row>
    <row r="212" spans="31:37">
      <c r="AE212" s="25" t="s">
        <v>2630</v>
      </c>
      <c r="AF212" s="25">
        <v>3</v>
      </c>
      <c r="AG212" s="25" t="s">
        <v>1824</v>
      </c>
      <c r="AH212" s="28">
        <f>管材表!CP5</f>
        <v>17500</v>
      </c>
      <c r="AI212" s="28">
        <f>管材表!CQ5</f>
        <v>11380</v>
      </c>
      <c r="AJ212" s="29">
        <f>管材表!CR5</f>
        <v>0.12</v>
      </c>
      <c r="AK212" s="25" t="s">
        <v>2304</v>
      </c>
    </row>
    <row r="213" spans="31:37">
      <c r="AE213" s="25" t="s">
        <v>2626</v>
      </c>
      <c r="AF213" s="25">
        <v>1</v>
      </c>
      <c r="AG213" s="25" t="s">
        <v>1824</v>
      </c>
      <c r="AH213" s="194">
        <f>管材表!FB8</f>
        <v>18000</v>
      </c>
      <c r="AI213" s="194">
        <f>管材表!FC8</f>
        <v>4600</v>
      </c>
      <c r="AJ213" s="29">
        <f>管材表!FD8</f>
        <v>0.2</v>
      </c>
      <c r="AK213" s="25" t="s">
        <v>2304</v>
      </c>
    </row>
    <row r="214" spans="31:37">
      <c r="AE214" s="25" t="s">
        <v>2631</v>
      </c>
      <c r="AF214" s="25">
        <v>1</v>
      </c>
      <c r="AG214" s="25" t="s">
        <v>2299</v>
      </c>
      <c r="AH214" s="28">
        <v>9000</v>
      </c>
      <c r="AI214" s="28">
        <v>5000</v>
      </c>
    </row>
    <row r="215" spans="31:37">
      <c r="AE215" s="25" t="s">
        <v>2320</v>
      </c>
      <c r="AF215" s="25">
        <v>1</v>
      </c>
      <c r="AG215" s="25" t="s">
        <v>2299</v>
      </c>
      <c r="AH215" s="28">
        <f>ROUND(項目表!$E$3*標準項!AK215,-3)</f>
        <v>162000</v>
      </c>
      <c r="AI215" s="28">
        <f>ROUND(項目表!$F$3*標準項!AK215,-3)</f>
        <v>101000</v>
      </c>
      <c r="AK215" s="25">
        <v>3.42</v>
      </c>
    </row>
    <row r="216" spans="31:37">
      <c r="AE216" s="25" t="s">
        <v>2388</v>
      </c>
      <c r="AF216" s="25">
        <v>1</v>
      </c>
      <c r="AG216" s="25" t="s">
        <v>2299</v>
      </c>
      <c r="AH216" s="28">
        <v>10000</v>
      </c>
      <c r="AI216" s="28">
        <v>5000</v>
      </c>
    </row>
    <row r="220" spans="31:37">
      <c r="AE220" s="51" t="s">
        <v>2632</v>
      </c>
      <c r="AF220" s="186"/>
    </row>
    <row r="221" spans="31:37">
      <c r="AE221" s="25" t="s">
        <v>2633</v>
      </c>
      <c r="AF221" s="25">
        <v>1</v>
      </c>
      <c r="AG221" s="25" t="s">
        <v>2345</v>
      </c>
      <c r="AH221" s="28">
        <f>機器表!EE22</f>
        <v>98800</v>
      </c>
      <c r="AI221" s="28">
        <f>機器表!EF21</f>
        <v>40200</v>
      </c>
      <c r="AJ221" s="29">
        <v>0.3</v>
      </c>
      <c r="AK221" s="25" t="s">
        <v>2280</v>
      </c>
    </row>
    <row r="222" spans="31:37">
      <c r="AE222" s="25" t="s">
        <v>2291</v>
      </c>
      <c r="AF222" s="25">
        <v>1</v>
      </c>
      <c r="AG222" s="25" t="s">
        <v>2299</v>
      </c>
      <c r="AH222" s="28">
        <f>ROUND(項目表!$E$3*標準項!AK222,-3)</f>
        <v>14000</v>
      </c>
      <c r="AI222" s="28">
        <f>ROUND(項目表!$F$3*標準項!AK222,-3)</f>
        <v>9000</v>
      </c>
      <c r="AK222" s="25">
        <v>0.3</v>
      </c>
    </row>
    <row r="223" spans="31:37">
      <c r="AE223" s="25" t="s">
        <v>2289</v>
      </c>
      <c r="AF223" s="25">
        <v>1</v>
      </c>
      <c r="AG223" s="25" t="s">
        <v>2299</v>
      </c>
      <c r="AH223" s="28">
        <f>ROUND(項目表!$E$3*標準項!AK223,-3)</f>
        <v>14000</v>
      </c>
      <c r="AI223" s="28">
        <f>ROUND(項目表!$F$3*標準項!AK223,-3)</f>
        <v>9000</v>
      </c>
      <c r="AK223" s="25">
        <v>0.3</v>
      </c>
    </row>
    <row r="224" spans="31:37">
      <c r="AE224" s="32" t="s">
        <v>2629</v>
      </c>
      <c r="AF224" s="25">
        <v>1</v>
      </c>
      <c r="AG224" s="25" t="s">
        <v>2623</v>
      </c>
      <c r="AH224" s="28">
        <f>機器表!EE24</f>
        <v>128400</v>
      </c>
      <c r="AI224" s="28">
        <f>機器表!EF24</f>
        <v>77040</v>
      </c>
      <c r="AJ224" s="29">
        <f>機器表!EG24</f>
        <v>2.2999999999999998</v>
      </c>
    </row>
    <row r="225" spans="31:37">
      <c r="AE225" s="25" t="s">
        <v>2289</v>
      </c>
      <c r="AF225" s="25">
        <v>1</v>
      </c>
      <c r="AG225" s="25" t="s">
        <v>2299</v>
      </c>
      <c r="AH225" s="28">
        <f>ROUND(項目表!$E$3*標準項!AK225,-3)</f>
        <v>109000</v>
      </c>
      <c r="AI225" s="28">
        <f>ROUND(項目表!$F$3*標準項!AK225,-3)</f>
        <v>68000</v>
      </c>
      <c r="AK225" s="25">
        <v>2.2999999999999998</v>
      </c>
    </row>
    <row r="226" spans="31:37">
      <c r="AE226" s="25" t="s">
        <v>2624</v>
      </c>
      <c r="AF226" s="25">
        <v>16</v>
      </c>
      <c r="AG226" s="25" t="s">
        <v>1795</v>
      </c>
      <c r="AH226" s="28">
        <f>管材表!N5</f>
        <v>4540</v>
      </c>
      <c r="AI226" s="28">
        <f>管材表!O5</f>
        <v>2400</v>
      </c>
      <c r="AJ226" s="29">
        <f>管材表!P5</f>
        <v>0.17</v>
      </c>
      <c r="AK226" s="25" t="s">
        <v>2304</v>
      </c>
    </row>
    <row r="227" spans="31:37">
      <c r="AE227" s="25" t="s">
        <v>2617</v>
      </c>
      <c r="AF227" s="25">
        <v>1</v>
      </c>
      <c r="AG227" s="25" t="s">
        <v>1821</v>
      </c>
      <c r="AH227" s="28">
        <f>管材表!DV5</f>
        <v>5700</v>
      </c>
      <c r="AI227" s="28">
        <f>管材表!DW5</f>
        <v>2620</v>
      </c>
      <c r="AJ227" s="29">
        <f>管材表!DX5</f>
        <v>0.14000000000000001</v>
      </c>
      <c r="AK227" s="25" t="s">
        <v>2304</v>
      </c>
    </row>
    <row r="228" spans="31:37">
      <c r="AE228" s="25" t="s">
        <v>2625</v>
      </c>
      <c r="AF228" s="25">
        <v>3</v>
      </c>
      <c r="AG228" s="25" t="s">
        <v>1824</v>
      </c>
      <c r="AH228" s="28">
        <f>管材表!CP5</f>
        <v>17500</v>
      </c>
      <c r="AI228" s="28">
        <f>管材表!CQ5</f>
        <v>11380</v>
      </c>
      <c r="AJ228" s="29">
        <f>管材表!CR5</f>
        <v>0.12</v>
      </c>
      <c r="AK228" s="25" t="s">
        <v>2304</v>
      </c>
    </row>
    <row r="229" spans="31:37">
      <c r="AE229" s="25" t="s">
        <v>2626</v>
      </c>
      <c r="AF229" s="25">
        <v>1</v>
      </c>
      <c r="AG229" s="25" t="s">
        <v>1824</v>
      </c>
      <c r="AH229" s="194">
        <f>管材表!FB8</f>
        <v>18000</v>
      </c>
      <c r="AI229" s="194">
        <f>管材表!FC8</f>
        <v>4600</v>
      </c>
      <c r="AJ229" s="29">
        <f>管材表!FD8</f>
        <v>0.2</v>
      </c>
      <c r="AK229" s="25" t="s">
        <v>2304</v>
      </c>
    </row>
    <row r="230" spans="31:37">
      <c r="AE230" s="25" t="s">
        <v>2347</v>
      </c>
      <c r="AF230" s="25">
        <v>1</v>
      </c>
      <c r="AG230" s="25" t="s">
        <v>2299</v>
      </c>
      <c r="AH230" s="28">
        <v>9000</v>
      </c>
      <c r="AI230" s="28">
        <v>5000</v>
      </c>
    </row>
    <row r="231" spans="31:37">
      <c r="AE231" s="25" t="s">
        <v>2320</v>
      </c>
      <c r="AF231" s="25">
        <v>1</v>
      </c>
      <c r="AG231" s="25" t="s">
        <v>2299</v>
      </c>
      <c r="AH231" s="28">
        <f>ROUND(項目表!$E$3*標準項!AK231,-3)</f>
        <v>162000</v>
      </c>
      <c r="AI231" s="28">
        <f>ROUND(項目表!$F$3*標準項!AK231,-3)</f>
        <v>101000</v>
      </c>
      <c r="AK231" s="25">
        <v>3.42</v>
      </c>
    </row>
    <row r="232" spans="31:37">
      <c r="AE232" s="25" t="s">
        <v>2325</v>
      </c>
      <c r="AF232" s="25">
        <v>1</v>
      </c>
      <c r="AG232" s="25" t="s">
        <v>2299</v>
      </c>
      <c r="AH232" s="28">
        <v>10000</v>
      </c>
      <c r="AI232" s="28">
        <v>5000</v>
      </c>
    </row>
  </sheetData>
  <phoneticPr fontId="2"/>
  <pageMargins left="0.62992125984251968" right="0.23622047244094488" top="0.74803149606299213" bottom="0.74803149606299213" header="0.31496062992125984" footer="0.31496062992125984"/>
  <pageSetup paperSize="8" scale="23" orientation="portrait" r:id="rId1"/>
  <headerFooter scaleWithDoc="0" alignWithMargins="0"/>
  <rowBreaks count="3" manualBreakCount="3">
    <brk id="73" max="16383" man="1"/>
    <brk id="146" max="90" man="1"/>
    <brk id="223" max="16383" man="1"/>
  </rowBreaks>
  <colBreaks count="4" manualBreakCount="4">
    <brk id="12" max="1048575" man="1"/>
    <brk id="30" max="1048575" man="1"/>
    <brk id="48" max="1048575" man="1"/>
    <brk id="56" max="256" man="1"/>
  </colBreaks>
  <ignoredErrors>
    <ignoredError sqref="BI6:BJ6 BI25:BJ25 BI46:BJ46" formula="1"/>
    <ignoredError sqref="AJ65 AH66:AI66 AK66 AJ149 AH150:AI150 AK150" evalError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Y500"/>
  <sheetViews>
    <sheetView workbookViewId="0">
      <selection activeCell="B3" sqref="B3"/>
    </sheetView>
  </sheetViews>
  <sheetFormatPr defaultColWidth="9" defaultRowHeight="13.5"/>
  <cols>
    <col min="1" max="1" width="1.42578125" customWidth="1"/>
    <col min="2" max="2" width="3.5703125" customWidth="1"/>
    <col min="3" max="3" width="24.28515625" customWidth="1"/>
    <col min="4" max="11" width="5.7109375" customWidth="1"/>
    <col min="12" max="12" width="11" style="21" bestFit="1" customWidth="1"/>
    <col min="13" max="13" width="17.7109375" customWidth="1"/>
    <col min="14" max="14" width="24.42578125" style="3" customWidth="1"/>
    <col min="15" max="15" width="4.85546875" style="1" customWidth="1"/>
    <col min="16" max="16" width="11.5703125" style="20" bestFit="1" customWidth="1"/>
    <col min="17" max="17" width="10.42578125" style="20" bestFit="1" customWidth="1"/>
    <col min="21" max="21" width="17.7109375" customWidth="1"/>
    <col min="22" max="22" width="15.85546875" customWidth="1"/>
    <col min="23" max="23" width="4.85546875" style="1" customWidth="1"/>
  </cols>
  <sheetData>
    <row r="1" spans="2:25">
      <c r="Y1">
        <v>0.43</v>
      </c>
    </row>
    <row r="2" spans="2:25" ht="18" customHeight="1">
      <c r="L2" s="256" t="s">
        <v>2634</v>
      </c>
      <c r="M2" s="257" t="s">
        <v>2635</v>
      </c>
      <c r="N2" s="258" t="s">
        <v>228</v>
      </c>
      <c r="O2" s="257" t="s">
        <v>1516</v>
      </c>
      <c r="P2" s="259" t="s">
        <v>2636</v>
      </c>
      <c r="Q2" s="259" t="s">
        <v>230</v>
      </c>
      <c r="R2" s="260" t="s">
        <v>2637</v>
      </c>
    </row>
    <row r="3" spans="2:25" ht="18" customHeight="1">
      <c r="B3" s="14">
        <v>1</v>
      </c>
      <c r="C3" s="14" t="s">
        <v>2638</v>
      </c>
      <c r="D3" s="14" t="s">
        <v>2639</v>
      </c>
      <c r="E3" t="s">
        <v>245</v>
      </c>
      <c r="I3" s="3" t="s">
        <v>246</v>
      </c>
      <c r="L3" s="261" t="s">
        <v>2640</v>
      </c>
      <c r="M3" s="262" t="s">
        <v>248</v>
      </c>
      <c r="N3" s="263" t="s">
        <v>2641</v>
      </c>
      <c r="O3" s="264" t="s">
        <v>69</v>
      </c>
      <c r="P3" s="265">
        <v>511000</v>
      </c>
      <c r="Q3" s="265">
        <v>274600</v>
      </c>
      <c r="R3" s="266">
        <v>1</v>
      </c>
    </row>
    <row r="4" spans="2:25" ht="18" customHeight="1">
      <c r="B4" s="14">
        <v>3</v>
      </c>
      <c r="C4" s="14" t="s">
        <v>313</v>
      </c>
      <c r="D4" s="14" t="s">
        <v>2112</v>
      </c>
      <c r="E4" t="s">
        <v>315</v>
      </c>
      <c r="I4" s="1">
        <v>2</v>
      </c>
      <c r="L4" s="267" t="s">
        <v>2642</v>
      </c>
      <c r="M4" s="268" t="s">
        <v>248</v>
      </c>
      <c r="N4" s="269" t="s">
        <v>2643</v>
      </c>
      <c r="O4" s="270" t="s">
        <v>69</v>
      </c>
      <c r="P4" s="271">
        <v>519000</v>
      </c>
      <c r="Q4" s="271">
        <v>278000</v>
      </c>
      <c r="R4" s="272">
        <v>1</v>
      </c>
    </row>
    <row r="5" spans="2:25" ht="18" customHeight="1">
      <c r="B5">
        <v>4</v>
      </c>
      <c r="C5" s="14" t="s">
        <v>356</v>
      </c>
      <c r="D5" s="14" t="s">
        <v>2141</v>
      </c>
      <c r="E5" t="s">
        <v>358</v>
      </c>
      <c r="I5" s="1">
        <v>0.15</v>
      </c>
      <c r="L5" s="267" t="s">
        <v>2644</v>
      </c>
      <c r="M5" s="268" t="s">
        <v>248</v>
      </c>
      <c r="N5" s="269" t="s">
        <v>2645</v>
      </c>
      <c r="O5" s="270" t="s">
        <v>69</v>
      </c>
      <c r="P5" s="271">
        <v>644000</v>
      </c>
      <c r="Q5" s="271">
        <v>293400</v>
      </c>
      <c r="R5" s="272">
        <v>1.25</v>
      </c>
    </row>
    <row r="6" spans="2:25" ht="18" customHeight="1">
      <c r="B6">
        <v>5</v>
      </c>
      <c r="C6" s="19" t="s">
        <v>2646</v>
      </c>
      <c r="D6" s="14" t="s">
        <v>2647</v>
      </c>
      <c r="E6" t="s">
        <v>397</v>
      </c>
      <c r="L6" s="267" t="s">
        <v>2648</v>
      </c>
      <c r="M6" s="268" t="s">
        <v>248</v>
      </c>
      <c r="N6" s="269" t="s">
        <v>2649</v>
      </c>
      <c r="O6" s="270" t="s">
        <v>69</v>
      </c>
      <c r="P6" s="271">
        <v>656000</v>
      </c>
      <c r="Q6" s="271">
        <v>303000</v>
      </c>
      <c r="R6" s="272">
        <v>1.25</v>
      </c>
    </row>
    <row r="7" spans="2:25" ht="18" customHeight="1">
      <c r="B7">
        <v>6</v>
      </c>
      <c r="C7" s="14" t="s">
        <v>2650</v>
      </c>
      <c r="D7" s="14" t="s">
        <v>396</v>
      </c>
      <c r="E7" t="s">
        <v>438</v>
      </c>
      <c r="I7" s="3" t="s">
        <v>439</v>
      </c>
      <c r="L7" s="267" t="s">
        <v>2651</v>
      </c>
      <c r="M7" s="268" t="s">
        <v>248</v>
      </c>
      <c r="N7" s="269" t="s">
        <v>2652</v>
      </c>
      <c r="O7" s="270" t="s">
        <v>69</v>
      </c>
      <c r="P7" s="271">
        <v>752000</v>
      </c>
      <c r="Q7" s="271">
        <v>391700</v>
      </c>
      <c r="R7" s="272">
        <v>1.25</v>
      </c>
    </row>
    <row r="8" spans="2:25" ht="18" customHeight="1">
      <c r="B8">
        <v>7</v>
      </c>
      <c r="C8" s="14" t="s">
        <v>436</v>
      </c>
      <c r="D8" s="14" t="s">
        <v>1858</v>
      </c>
      <c r="E8" t="s">
        <v>476</v>
      </c>
      <c r="I8" s="1">
        <v>1.2</v>
      </c>
      <c r="L8" s="267" t="s">
        <v>2653</v>
      </c>
      <c r="M8" s="268" t="s">
        <v>248</v>
      </c>
      <c r="N8" s="269" t="s">
        <v>2654</v>
      </c>
      <c r="O8" s="270" t="s">
        <v>69</v>
      </c>
      <c r="P8" s="271">
        <v>800000</v>
      </c>
      <c r="Q8" s="271">
        <v>302400</v>
      </c>
      <c r="R8" s="272">
        <v>1.45</v>
      </c>
    </row>
    <row r="9" spans="2:25" ht="18" customHeight="1">
      <c r="B9">
        <v>8</v>
      </c>
      <c r="C9" s="14" t="s">
        <v>404</v>
      </c>
      <c r="D9" s="14" t="s">
        <v>2655</v>
      </c>
      <c r="E9" t="s">
        <v>514</v>
      </c>
      <c r="I9" s="1">
        <v>0.11</v>
      </c>
      <c r="L9" s="267" t="s">
        <v>2656</v>
      </c>
      <c r="M9" s="268" t="s">
        <v>248</v>
      </c>
      <c r="N9" s="269" t="s">
        <v>2657</v>
      </c>
      <c r="O9" s="270" t="s">
        <v>69</v>
      </c>
      <c r="P9" s="271">
        <v>809000</v>
      </c>
      <c r="Q9" s="271">
        <v>318300</v>
      </c>
      <c r="R9" s="272">
        <v>1.45</v>
      </c>
    </row>
    <row r="10" spans="2:25" ht="18" customHeight="1">
      <c r="B10">
        <v>9</v>
      </c>
      <c r="C10" s="14" t="s">
        <v>260</v>
      </c>
      <c r="D10" s="14" t="s">
        <v>2658</v>
      </c>
      <c r="E10" s="3" t="s">
        <v>551</v>
      </c>
      <c r="L10" s="267" t="s">
        <v>2659</v>
      </c>
      <c r="M10" s="268" t="s">
        <v>248</v>
      </c>
      <c r="N10" s="269" t="s">
        <v>2660</v>
      </c>
      <c r="O10" s="270" t="s">
        <v>69</v>
      </c>
      <c r="P10" s="271">
        <v>775000</v>
      </c>
      <c r="Q10" s="271">
        <v>300300</v>
      </c>
      <c r="R10" s="272">
        <v>1.45</v>
      </c>
    </row>
    <row r="11" spans="2:25" ht="18" customHeight="1">
      <c r="B11">
        <v>10</v>
      </c>
      <c r="C11" s="14" t="s">
        <v>2661</v>
      </c>
      <c r="D11" s="14" t="s">
        <v>2662</v>
      </c>
      <c r="E11" s="2" t="s">
        <v>585</v>
      </c>
      <c r="L11" s="267" t="s">
        <v>2663</v>
      </c>
      <c r="M11" s="268" t="s">
        <v>248</v>
      </c>
      <c r="N11" s="269" t="s">
        <v>2664</v>
      </c>
      <c r="O11" s="270" t="s">
        <v>69</v>
      </c>
      <c r="P11" s="271">
        <v>900000</v>
      </c>
      <c r="Q11" s="271">
        <v>396600</v>
      </c>
      <c r="R11" s="272">
        <v>1.45</v>
      </c>
    </row>
    <row r="12" spans="2:25" ht="18" customHeight="1">
      <c r="B12">
        <v>11</v>
      </c>
      <c r="C12" s="14" t="s">
        <v>2665</v>
      </c>
      <c r="D12" s="14" t="s">
        <v>2666</v>
      </c>
      <c r="E12" s="3" t="s">
        <v>618</v>
      </c>
      <c r="L12" s="267" t="s">
        <v>2667</v>
      </c>
      <c r="M12" s="268" t="s">
        <v>248</v>
      </c>
      <c r="N12" s="269" t="s">
        <v>2668</v>
      </c>
      <c r="O12" s="270" t="s">
        <v>69</v>
      </c>
      <c r="P12" s="271">
        <v>1010000</v>
      </c>
      <c r="Q12" s="271">
        <v>348400</v>
      </c>
      <c r="R12" s="272">
        <v>1.7</v>
      </c>
    </row>
    <row r="13" spans="2:25" ht="18" customHeight="1">
      <c r="B13">
        <v>12</v>
      </c>
      <c r="C13" s="14" t="s">
        <v>236</v>
      </c>
      <c r="D13" s="14" t="s">
        <v>997</v>
      </c>
      <c r="E13" t="s">
        <v>652</v>
      </c>
      <c r="L13" s="267" t="s">
        <v>2669</v>
      </c>
      <c r="M13" s="268" t="s">
        <v>248</v>
      </c>
      <c r="N13" s="269" t="s">
        <v>2670</v>
      </c>
      <c r="O13" s="270" t="s">
        <v>69</v>
      </c>
      <c r="P13" s="271">
        <v>1048000</v>
      </c>
      <c r="Q13" s="271">
        <v>369600</v>
      </c>
      <c r="R13" s="272">
        <v>1.7</v>
      </c>
    </row>
    <row r="14" spans="2:25" ht="18" customHeight="1">
      <c r="B14">
        <v>13</v>
      </c>
      <c r="C14" s="14" t="s">
        <v>650</v>
      </c>
      <c r="D14" s="14" t="s">
        <v>2671</v>
      </c>
      <c r="E14" t="s">
        <v>690</v>
      </c>
      <c r="L14" s="267" t="s">
        <v>2672</v>
      </c>
      <c r="M14" s="268" t="s">
        <v>248</v>
      </c>
      <c r="N14" s="269" t="s">
        <v>2673</v>
      </c>
      <c r="O14" s="270" t="s">
        <v>69</v>
      </c>
      <c r="P14" s="271">
        <v>982000</v>
      </c>
      <c r="Q14" s="271">
        <v>345900</v>
      </c>
      <c r="R14" s="272">
        <v>1.7</v>
      </c>
    </row>
    <row r="15" spans="2:25" ht="18" customHeight="1">
      <c r="B15">
        <v>14</v>
      </c>
      <c r="C15" s="15" t="s">
        <v>688</v>
      </c>
      <c r="D15" t="s">
        <v>2674</v>
      </c>
      <c r="E15" t="s">
        <v>720</v>
      </c>
      <c r="L15" s="267" t="s">
        <v>2675</v>
      </c>
      <c r="M15" s="268" t="s">
        <v>248</v>
      </c>
      <c r="N15" s="269" t="s">
        <v>2676</v>
      </c>
      <c r="O15" s="270" t="s">
        <v>69</v>
      </c>
      <c r="P15" s="271">
        <v>1126000</v>
      </c>
      <c r="Q15" s="271">
        <v>447300</v>
      </c>
      <c r="R15" s="272">
        <v>1.7</v>
      </c>
    </row>
    <row r="16" spans="2:25" ht="18" customHeight="1">
      <c r="B16">
        <v>15</v>
      </c>
      <c r="C16" s="12" t="s">
        <v>232</v>
      </c>
      <c r="D16" t="s">
        <v>2677</v>
      </c>
      <c r="E16" t="s">
        <v>759</v>
      </c>
      <c r="L16" s="267" t="s">
        <v>2678</v>
      </c>
      <c r="M16" s="268" t="s">
        <v>248</v>
      </c>
      <c r="N16" s="269" t="s">
        <v>2679</v>
      </c>
      <c r="O16" s="270" t="s">
        <v>69</v>
      </c>
      <c r="P16" s="271">
        <v>1126000</v>
      </c>
      <c r="Q16" s="271">
        <v>445600</v>
      </c>
      <c r="R16" s="272">
        <v>1.7</v>
      </c>
    </row>
    <row r="17" spans="2:18" ht="18" customHeight="1">
      <c r="B17">
        <v>16</v>
      </c>
      <c r="C17" s="12" t="s">
        <v>242</v>
      </c>
      <c r="D17" t="s">
        <v>2680</v>
      </c>
      <c r="E17" s="3" t="s">
        <v>791</v>
      </c>
      <c r="L17" s="267" t="s">
        <v>2681</v>
      </c>
      <c r="M17" s="268" t="s">
        <v>248</v>
      </c>
      <c r="N17" s="269" t="s">
        <v>2682</v>
      </c>
      <c r="O17" s="270" t="s">
        <v>69</v>
      </c>
      <c r="P17" s="271">
        <v>1111000</v>
      </c>
      <c r="Q17" s="271">
        <v>484700</v>
      </c>
      <c r="R17" s="272">
        <v>1.7</v>
      </c>
    </row>
    <row r="18" spans="2:18" ht="18" customHeight="1">
      <c r="B18">
        <v>17</v>
      </c>
      <c r="C18" t="s">
        <v>304</v>
      </c>
      <c r="D18" t="s">
        <v>2132</v>
      </c>
      <c r="E18" s="3" t="s">
        <v>823</v>
      </c>
      <c r="L18" s="267" t="s">
        <v>2683</v>
      </c>
      <c r="M18" s="268" t="s">
        <v>248</v>
      </c>
      <c r="N18" s="269" t="s">
        <v>2684</v>
      </c>
      <c r="O18" s="270" t="s">
        <v>69</v>
      </c>
      <c r="P18" s="271">
        <v>1149000</v>
      </c>
      <c r="Q18" s="271">
        <v>440700</v>
      </c>
      <c r="R18" s="272">
        <v>2</v>
      </c>
    </row>
    <row r="19" spans="2:18" ht="18" customHeight="1">
      <c r="B19">
        <v>18</v>
      </c>
      <c r="C19" t="s">
        <v>270</v>
      </c>
      <c r="D19" t="s">
        <v>2685</v>
      </c>
      <c r="E19" t="s">
        <v>855</v>
      </c>
      <c r="L19" s="267" t="s">
        <v>2686</v>
      </c>
      <c r="M19" s="268" t="s">
        <v>248</v>
      </c>
      <c r="N19" s="269" t="s">
        <v>2687</v>
      </c>
      <c r="O19" s="270" t="s">
        <v>69</v>
      </c>
      <c r="P19" s="271">
        <v>1192000</v>
      </c>
      <c r="Q19" s="271">
        <v>484200</v>
      </c>
      <c r="R19" s="272">
        <v>2</v>
      </c>
    </row>
    <row r="20" spans="2:18" ht="18" customHeight="1">
      <c r="B20">
        <v>19</v>
      </c>
      <c r="C20" t="s">
        <v>2688</v>
      </c>
      <c r="D20" t="s">
        <v>2689</v>
      </c>
      <c r="E20" t="s">
        <v>885</v>
      </c>
      <c r="L20" s="267" t="s">
        <v>2690</v>
      </c>
      <c r="M20" s="268" t="s">
        <v>248</v>
      </c>
      <c r="N20" s="269" t="s">
        <v>2691</v>
      </c>
      <c r="O20" s="270" t="s">
        <v>69</v>
      </c>
      <c r="P20" s="271">
        <v>1115000</v>
      </c>
      <c r="Q20" s="271">
        <v>417500</v>
      </c>
      <c r="R20" s="272">
        <v>2</v>
      </c>
    </row>
    <row r="21" spans="2:18" ht="18" customHeight="1">
      <c r="B21">
        <v>20</v>
      </c>
      <c r="C21" t="s">
        <v>2692</v>
      </c>
      <c r="D21" t="s">
        <v>2693</v>
      </c>
      <c r="E21" s="2" t="s">
        <v>585</v>
      </c>
      <c r="L21" s="267" t="s">
        <v>2694</v>
      </c>
      <c r="M21" s="268" t="s">
        <v>248</v>
      </c>
      <c r="N21" s="269" t="s">
        <v>2695</v>
      </c>
      <c r="O21" s="270" t="s">
        <v>69</v>
      </c>
      <c r="P21" s="271">
        <v>1287000</v>
      </c>
      <c r="Q21" s="271">
        <v>450600</v>
      </c>
      <c r="R21" s="272">
        <v>2.2000000000000002</v>
      </c>
    </row>
    <row r="22" spans="2:18" ht="18" customHeight="1">
      <c r="B22">
        <v>21</v>
      </c>
      <c r="C22" t="s">
        <v>2696</v>
      </c>
      <c r="D22" t="s">
        <v>2697</v>
      </c>
      <c r="E22" t="s">
        <v>929</v>
      </c>
      <c r="L22" s="267" t="s">
        <v>2698</v>
      </c>
      <c r="M22" s="268" t="s">
        <v>248</v>
      </c>
      <c r="N22" s="269" t="s">
        <v>2699</v>
      </c>
      <c r="O22" s="270" t="s">
        <v>69</v>
      </c>
      <c r="P22" s="271">
        <v>1334000</v>
      </c>
      <c r="Q22" s="271">
        <v>508500</v>
      </c>
      <c r="R22" s="272">
        <v>2.2000000000000002</v>
      </c>
    </row>
    <row r="23" spans="2:18" ht="18" customHeight="1">
      <c r="B23">
        <v>22</v>
      </c>
      <c r="C23" t="s">
        <v>272</v>
      </c>
      <c r="D23" t="s">
        <v>822</v>
      </c>
      <c r="E23" s="3" t="s">
        <v>957</v>
      </c>
      <c r="L23" s="273" t="s">
        <v>2700</v>
      </c>
      <c r="M23" s="274" t="s">
        <v>248</v>
      </c>
      <c r="N23" s="275" t="s">
        <v>2701</v>
      </c>
      <c r="O23" s="276" t="s">
        <v>69</v>
      </c>
      <c r="P23" s="277">
        <v>1251000</v>
      </c>
      <c r="Q23" s="277">
        <v>427400</v>
      </c>
      <c r="R23" s="278">
        <v>2.2000000000000002</v>
      </c>
    </row>
    <row r="24" spans="2:18" ht="18" customHeight="1">
      <c r="B24">
        <v>23</v>
      </c>
      <c r="C24" t="s">
        <v>2702</v>
      </c>
      <c r="D24" t="s">
        <v>1984</v>
      </c>
      <c r="E24" t="s">
        <v>2703</v>
      </c>
      <c r="L24" s="261" t="s">
        <v>2704</v>
      </c>
      <c r="M24" s="279" t="s">
        <v>248</v>
      </c>
      <c r="N24" s="280" t="s">
        <v>2705</v>
      </c>
      <c r="O24" s="281" t="s">
        <v>69</v>
      </c>
      <c r="P24" s="282">
        <v>711000</v>
      </c>
      <c r="Q24" s="282">
        <v>277000</v>
      </c>
      <c r="R24" s="283">
        <v>1.45</v>
      </c>
    </row>
    <row r="25" spans="2:18" ht="18" customHeight="1">
      <c r="B25">
        <v>24</v>
      </c>
      <c r="C25" t="s">
        <v>2706</v>
      </c>
      <c r="D25" t="s">
        <v>2707</v>
      </c>
      <c r="E25" t="s">
        <v>998</v>
      </c>
      <c r="L25" s="267" t="s">
        <v>2708</v>
      </c>
      <c r="M25" s="268" t="s">
        <v>248</v>
      </c>
      <c r="N25" s="269" t="s">
        <v>2709</v>
      </c>
      <c r="O25" s="270" t="s">
        <v>69</v>
      </c>
      <c r="P25" s="271">
        <v>723000</v>
      </c>
      <c r="Q25" s="271">
        <v>291700</v>
      </c>
      <c r="R25" s="272">
        <v>1.45</v>
      </c>
    </row>
    <row r="26" spans="2:18" ht="18" customHeight="1">
      <c r="B26">
        <v>25</v>
      </c>
      <c r="C26" t="s">
        <v>996</v>
      </c>
      <c r="D26" t="s">
        <v>2710</v>
      </c>
      <c r="E26" t="s">
        <v>1017</v>
      </c>
      <c r="L26" s="267" t="s">
        <v>2711</v>
      </c>
      <c r="M26" s="268" t="s">
        <v>248</v>
      </c>
      <c r="N26" s="269" t="s">
        <v>2712</v>
      </c>
      <c r="O26" s="270" t="s">
        <v>69</v>
      </c>
      <c r="P26" s="271">
        <v>892000</v>
      </c>
      <c r="Q26" s="271">
        <v>322700</v>
      </c>
      <c r="R26" s="272">
        <v>1.7</v>
      </c>
    </row>
    <row r="27" spans="2:18" ht="18" customHeight="1">
      <c r="B27">
        <v>26</v>
      </c>
      <c r="C27" t="s">
        <v>237</v>
      </c>
      <c r="D27" t="s">
        <v>2089</v>
      </c>
      <c r="E27" t="s">
        <v>2713</v>
      </c>
      <c r="L27" s="267" t="s">
        <v>2714</v>
      </c>
      <c r="M27" s="268" t="s">
        <v>248</v>
      </c>
      <c r="N27" s="269" t="s">
        <v>2715</v>
      </c>
      <c r="O27" s="270" t="s">
        <v>69</v>
      </c>
      <c r="P27" s="271">
        <v>903000</v>
      </c>
      <c r="Q27" s="271">
        <v>342600</v>
      </c>
      <c r="R27" s="272">
        <v>1.7</v>
      </c>
    </row>
    <row r="28" spans="2:18" ht="18" customHeight="1">
      <c r="B28">
        <v>27</v>
      </c>
      <c r="C28" t="s">
        <v>1054</v>
      </c>
      <c r="D28" t="s">
        <v>2102</v>
      </c>
      <c r="E28" t="s">
        <v>117</v>
      </c>
      <c r="L28" s="267" t="s">
        <v>2716</v>
      </c>
      <c r="M28" s="268" t="s">
        <v>248</v>
      </c>
      <c r="N28" s="269" t="s">
        <v>2717</v>
      </c>
      <c r="O28" s="270" t="s">
        <v>69</v>
      </c>
      <c r="P28" s="271">
        <v>1027000</v>
      </c>
      <c r="Q28" s="271">
        <v>412800</v>
      </c>
      <c r="R28" s="272">
        <v>2</v>
      </c>
    </row>
    <row r="29" spans="2:18" ht="18" customHeight="1">
      <c r="C29" t="s">
        <v>2718</v>
      </c>
      <c r="D29" t="s">
        <v>2120</v>
      </c>
      <c r="L29" s="267" t="s">
        <v>2719</v>
      </c>
      <c r="M29" s="268" t="s">
        <v>248</v>
      </c>
      <c r="N29" s="269" t="s">
        <v>2720</v>
      </c>
      <c r="O29" s="270" t="s">
        <v>69</v>
      </c>
      <c r="P29" s="271">
        <v>1079000</v>
      </c>
      <c r="Q29" s="271">
        <v>455100</v>
      </c>
      <c r="R29" s="272">
        <v>2</v>
      </c>
    </row>
    <row r="30" spans="2:18" ht="18" customHeight="1">
      <c r="L30" s="267" t="s">
        <v>2721</v>
      </c>
      <c r="M30" s="268" t="s">
        <v>248</v>
      </c>
      <c r="N30" s="269" t="s">
        <v>2722</v>
      </c>
      <c r="O30" s="270" t="s">
        <v>69</v>
      </c>
      <c r="P30" s="271">
        <v>994000</v>
      </c>
      <c r="Q30" s="271">
        <v>381700</v>
      </c>
      <c r="R30" s="272">
        <v>2</v>
      </c>
    </row>
    <row r="31" spans="2:18" ht="18" customHeight="1">
      <c r="D31" s="3"/>
      <c r="E31" s="3"/>
      <c r="F31" s="3"/>
      <c r="G31" s="3"/>
      <c r="H31" s="3"/>
      <c r="J31" s="3"/>
      <c r="K31" s="3"/>
      <c r="L31" s="267" t="s">
        <v>2723</v>
      </c>
      <c r="M31" s="268" t="s">
        <v>248</v>
      </c>
      <c r="N31" s="269" t="s">
        <v>2724</v>
      </c>
      <c r="O31" s="270" t="s">
        <v>69</v>
      </c>
      <c r="P31" s="271">
        <v>1151000</v>
      </c>
      <c r="Q31" s="271">
        <v>422500</v>
      </c>
      <c r="R31" s="272">
        <v>2.2000000000000002</v>
      </c>
    </row>
    <row r="32" spans="2:18" ht="18" customHeight="1">
      <c r="D32" s="3"/>
      <c r="E32" s="3"/>
      <c r="F32" s="3"/>
      <c r="G32" s="3"/>
      <c r="H32" s="3"/>
      <c r="J32" s="3"/>
      <c r="K32" s="3"/>
      <c r="L32" s="267" t="s">
        <v>2725</v>
      </c>
      <c r="M32" s="268" t="s">
        <v>248</v>
      </c>
      <c r="N32" s="269" t="s">
        <v>2726</v>
      </c>
      <c r="O32" s="270" t="s">
        <v>69</v>
      </c>
      <c r="P32" s="271">
        <v>1201000</v>
      </c>
      <c r="Q32" s="271">
        <v>477200</v>
      </c>
      <c r="R32" s="272">
        <v>2.2000000000000002</v>
      </c>
    </row>
    <row r="33" spans="3:18" ht="18" customHeight="1">
      <c r="D33" s="3"/>
      <c r="E33" s="3"/>
      <c r="F33" s="3"/>
      <c r="G33" s="3"/>
      <c r="H33" s="3"/>
      <c r="J33" s="3"/>
      <c r="K33" s="3"/>
      <c r="L33" s="273" t="s">
        <v>2727</v>
      </c>
      <c r="M33" s="274" t="s">
        <v>248</v>
      </c>
      <c r="N33" s="275" t="s">
        <v>2728</v>
      </c>
      <c r="O33" s="276" t="s">
        <v>69</v>
      </c>
      <c r="P33" s="277">
        <v>1118000</v>
      </c>
      <c r="Q33" s="277">
        <v>400400</v>
      </c>
      <c r="R33" s="278">
        <v>2.2000000000000002</v>
      </c>
    </row>
    <row r="34" spans="3:18" ht="18" customHeight="1">
      <c r="D34" s="3"/>
      <c r="E34" s="3"/>
      <c r="F34" s="3"/>
      <c r="G34" s="3"/>
      <c r="H34" s="3"/>
      <c r="J34" s="3"/>
      <c r="K34" s="3"/>
      <c r="L34" s="261" t="s">
        <v>2729</v>
      </c>
      <c r="M34" s="284" t="s">
        <v>248</v>
      </c>
      <c r="N34" s="285" t="s">
        <v>2730</v>
      </c>
      <c r="O34" s="286" t="s">
        <v>69</v>
      </c>
      <c r="P34" s="287">
        <v>1861000</v>
      </c>
      <c r="Q34" s="287">
        <v>772900</v>
      </c>
      <c r="R34" s="288">
        <v>2.8</v>
      </c>
    </row>
    <row r="35" spans="3:18" ht="18" customHeight="1">
      <c r="C35" t="s">
        <v>1133</v>
      </c>
      <c r="D35" s="3"/>
      <c r="E35" s="3"/>
      <c r="F35" s="3"/>
      <c r="G35" s="3"/>
      <c r="H35" s="3"/>
      <c r="J35" s="3"/>
      <c r="K35" s="3"/>
      <c r="L35" s="273" t="s">
        <v>2731</v>
      </c>
      <c r="M35" s="274" t="s">
        <v>248</v>
      </c>
      <c r="N35" s="289" t="s">
        <v>2732</v>
      </c>
      <c r="O35" s="276" t="s">
        <v>69</v>
      </c>
      <c r="P35" s="277">
        <v>1825000</v>
      </c>
      <c r="Q35" s="277">
        <v>711700</v>
      </c>
      <c r="R35" s="278">
        <v>2.8</v>
      </c>
    </row>
    <row r="36" spans="3:18" ht="18" customHeight="1">
      <c r="C36" s="2" t="s">
        <v>2733</v>
      </c>
      <c r="D36" s="3"/>
      <c r="E36" s="9"/>
      <c r="F36" s="3"/>
      <c r="G36" s="3"/>
      <c r="H36" s="3"/>
      <c r="J36" s="3"/>
      <c r="K36" s="3"/>
      <c r="L36" s="261" t="s">
        <v>2734</v>
      </c>
      <c r="M36" s="290" t="s">
        <v>2735</v>
      </c>
      <c r="N36" s="285" t="s">
        <v>2736</v>
      </c>
      <c r="O36" s="286" t="s">
        <v>53</v>
      </c>
      <c r="P36" s="287">
        <v>183000</v>
      </c>
      <c r="Q36" s="287">
        <v>79000</v>
      </c>
      <c r="R36" s="288">
        <v>1.2</v>
      </c>
    </row>
    <row r="37" spans="3:18" ht="18" customHeight="1">
      <c r="C37" s="2" t="s">
        <v>2737</v>
      </c>
      <c r="D37" s="3"/>
      <c r="E37" s="10"/>
      <c r="L37" s="273" t="s">
        <v>2738</v>
      </c>
      <c r="M37" s="274" t="s">
        <v>2735</v>
      </c>
      <c r="N37" s="289" t="s">
        <v>2739</v>
      </c>
      <c r="O37" s="276" t="s">
        <v>53</v>
      </c>
      <c r="P37" s="277">
        <v>241000</v>
      </c>
      <c r="Q37" s="277">
        <v>81300</v>
      </c>
      <c r="R37" s="278">
        <v>1.2</v>
      </c>
    </row>
    <row r="38" spans="3:18" ht="18" customHeight="1">
      <c r="C38" s="2" t="s">
        <v>2740</v>
      </c>
      <c r="D38" s="3"/>
      <c r="E38" s="13"/>
      <c r="L38" s="261" t="s">
        <v>2741</v>
      </c>
      <c r="M38" s="279" t="s">
        <v>2742</v>
      </c>
      <c r="N38" s="291" t="s">
        <v>2743</v>
      </c>
      <c r="O38" s="281" t="s">
        <v>69</v>
      </c>
      <c r="P38" s="282">
        <v>751000</v>
      </c>
      <c r="Q38" s="282">
        <v>339500</v>
      </c>
      <c r="R38" s="283">
        <v>1.25</v>
      </c>
    </row>
    <row r="39" spans="3:18" ht="18" customHeight="1">
      <c r="C39" s="2" t="s">
        <v>2744</v>
      </c>
      <c r="E39" s="16"/>
      <c r="L39" s="267" t="s">
        <v>2745</v>
      </c>
      <c r="M39" s="268" t="s">
        <v>2742</v>
      </c>
      <c r="N39" s="292" t="s">
        <v>2746</v>
      </c>
      <c r="O39" s="270" t="s">
        <v>69</v>
      </c>
      <c r="P39" s="271">
        <v>762000</v>
      </c>
      <c r="Q39" s="271">
        <v>347400</v>
      </c>
      <c r="R39" s="272">
        <v>1.25</v>
      </c>
    </row>
    <row r="40" spans="3:18" ht="18" customHeight="1">
      <c r="C40" s="2" t="s">
        <v>2747</v>
      </c>
      <c r="E40" s="17"/>
      <c r="L40" s="267" t="s">
        <v>2748</v>
      </c>
      <c r="M40" s="268" t="s">
        <v>2742</v>
      </c>
      <c r="N40" s="292" t="s">
        <v>2749</v>
      </c>
      <c r="O40" s="270" t="s">
        <v>69</v>
      </c>
      <c r="P40" s="271">
        <v>907000</v>
      </c>
      <c r="Q40" s="271">
        <v>342000</v>
      </c>
      <c r="R40" s="272">
        <v>1.45</v>
      </c>
    </row>
    <row r="41" spans="3:18" ht="18" customHeight="1">
      <c r="C41" s="2" t="s">
        <v>2750</v>
      </c>
      <c r="E41" s="18"/>
      <c r="L41" s="267" t="s">
        <v>2751</v>
      </c>
      <c r="M41" s="268" t="s">
        <v>2742</v>
      </c>
      <c r="N41" s="292" t="s">
        <v>2752</v>
      </c>
      <c r="O41" s="270" t="s">
        <v>69</v>
      </c>
      <c r="P41" s="271">
        <v>917000</v>
      </c>
      <c r="Q41" s="271">
        <v>360300</v>
      </c>
      <c r="R41" s="272">
        <v>1.45</v>
      </c>
    </row>
    <row r="42" spans="3:18" ht="18" customHeight="1">
      <c r="L42" s="267" t="s">
        <v>2753</v>
      </c>
      <c r="M42" s="268" t="s">
        <v>2742</v>
      </c>
      <c r="N42" s="292" t="s">
        <v>2754</v>
      </c>
      <c r="O42" s="270" t="s">
        <v>69</v>
      </c>
      <c r="P42" s="271">
        <v>882000</v>
      </c>
      <c r="Q42" s="271">
        <v>341600</v>
      </c>
      <c r="R42" s="272">
        <v>1.45</v>
      </c>
    </row>
    <row r="43" spans="3:18" ht="18" customHeight="1">
      <c r="L43" s="267" t="s">
        <v>2755</v>
      </c>
      <c r="M43" s="268" t="s">
        <v>2756</v>
      </c>
      <c r="N43" s="292" t="s">
        <v>2757</v>
      </c>
      <c r="O43" s="270" t="s">
        <v>69</v>
      </c>
      <c r="P43" s="271">
        <v>1224000</v>
      </c>
      <c r="Q43" s="271">
        <v>422800</v>
      </c>
      <c r="R43" s="272">
        <v>1.7</v>
      </c>
    </row>
    <row r="44" spans="3:18" ht="18" customHeight="1">
      <c r="L44" s="267" t="s">
        <v>2758</v>
      </c>
      <c r="M44" s="268" t="s">
        <v>2756</v>
      </c>
      <c r="N44" s="292" t="s">
        <v>2759</v>
      </c>
      <c r="O44" s="270" t="s">
        <v>69</v>
      </c>
      <c r="P44" s="271">
        <v>1261000</v>
      </c>
      <c r="Q44" s="271">
        <v>447300</v>
      </c>
      <c r="R44" s="272">
        <v>1.7</v>
      </c>
    </row>
    <row r="45" spans="3:18" ht="18" customHeight="1">
      <c r="L45" s="267" t="s">
        <v>2760</v>
      </c>
      <c r="M45" s="268" t="s">
        <v>2756</v>
      </c>
      <c r="N45" s="292" t="s">
        <v>2761</v>
      </c>
      <c r="O45" s="270" t="s">
        <v>69</v>
      </c>
      <c r="P45" s="271">
        <v>1197000</v>
      </c>
      <c r="Q45" s="271">
        <v>422000</v>
      </c>
      <c r="R45" s="272">
        <v>1.7</v>
      </c>
    </row>
    <row r="46" spans="3:18" ht="18" customHeight="1">
      <c r="L46" s="267" t="s">
        <v>2762</v>
      </c>
      <c r="M46" s="268" t="s">
        <v>2756</v>
      </c>
      <c r="N46" s="292" t="s">
        <v>2763</v>
      </c>
      <c r="O46" s="270" t="s">
        <v>69</v>
      </c>
      <c r="P46" s="271">
        <v>1363000</v>
      </c>
      <c r="Q46" s="271">
        <v>520700</v>
      </c>
      <c r="R46" s="272">
        <v>2</v>
      </c>
    </row>
    <row r="47" spans="3:18" ht="18" customHeight="1">
      <c r="L47" s="267" t="s">
        <v>2764</v>
      </c>
      <c r="M47" s="268" t="s">
        <v>2756</v>
      </c>
      <c r="N47" s="292" t="s">
        <v>2765</v>
      </c>
      <c r="O47" s="270" t="s">
        <v>69</v>
      </c>
      <c r="P47" s="271">
        <v>1405000</v>
      </c>
      <c r="Q47" s="271">
        <v>565500</v>
      </c>
      <c r="R47" s="272">
        <v>2</v>
      </c>
    </row>
    <row r="48" spans="3:18" ht="18" customHeight="1">
      <c r="L48" s="267" t="s">
        <v>2766</v>
      </c>
      <c r="M48" s="268" t="s">
        <v>2756</v>
      </c>
      <c r="N48" s="292" t="s">
        <v>2767</v>
      </c>
      <c r="O48" s="270" t="s">
        <v>69</v>
      </c>
      <c r="P48" s="271">
        <v>1329000</v>
      </c>
      <c r="Q48" s="271">
        <v>500000</v>
      </c>
      <c r="R48" s="272">
        <v>2</v>
      </c>
    </row>
    <row r="49" spans="12:18" ht="18" customHeight="1">
      <c r="L49" s="267" t="s">
        <v>2768</v>
      </c>
      <c r="M49" s="268" t="s">
        <v>2756</v>
      </c>
      <c r="N49" s="292" t="s">
        <v>2769</v>
      </c>
      <c r="O49" s="270" t="s">
        <v>69</v>
      </c>
      <c r="P49" s="271">
        <v>1501000</v>
      </c>
      <c r="Q49" s="271">
        <v>533000</v>
      </c>
      <c r="R49" s="272">
        <v>2.2000000000000002</v>
      </c>
    </row>
    <row r="50" spans="12:18" ht="18" customHeight="1">
      <c r="L50" s="267" t="s">
        <v>2770</v>
      </c>
      <c r="M50" s="268" t="s">
        <v>2756</v>
      </c>
      <c r="N50" s="292" t="s">
        <v>2771</v>
      </c>
      <c r="O50" s="270" t="s">
        <v>69</v>
      </c>
      <c r="P50" s="271">
        <v>1547000</v>
      </c>
      <c r="Q50" s="271">
        <v>590700</v>
      </c>
      <c r="R50" s="272">
        <v>2.2000000000000002</v>
      </c>
    </row>
    <row r="51" spans="12:18" ht="18" customHeight="1">
      <c r="L51" s="273" t="s">
        <v>2772</v>
      </c>
      <c r="M51" s="274" t="s">
        <v>2756</v>
      </c>
      <c r="N51" s="293" t="s">
        <v>2773</v>
      </c>
      <c r="O51" s="276" t="s">
        <v>69</v>
      </c>
      <c r="P51" s="277">
        <v>1463000</v>
      </c>
      <c r="Q51" s="277">
        <v>512100</v>
      </c>
      <c r="R51" s="278">
        <v>2.2000000000000002</v>
      </c>
    </row>
    <row r="52" spans="12:18" ht="18" customHeight="1">
      <c r="L52" s="261" t="s">
        <v>2774</v>
      </c>
      <c r="M52" s="279" t="s">
        <v>248</v>
      </c>
      <c r="N52" s="291" t="s">
        <v>2775</v>
      </c>
      <c r="O52" s="281" t="s">
        <v>69</v>
      </c>
      <c r="P52" s="294">
        <v>783000</v>
      </c>
      <c r="Q52" s="294">
        <v>352200</v>
      </c>
      <c r="R52" s="283">
        <v>1.25</v>
      </c>
    </row>
    <row r="53" spans="12:18" ht="18" customHeight="1">
      <c r="L53" s="267" t="s">
        <v>2776</v>
      </c>
      <c r="M53" s="268" t="s">
        <v>248</v>
      </c>
      <c r="N53" s="292" t="s">
        <v>2777</v>
      </c>
      <c r="O53" s="270" t="s">
        <v>69</v>
      </c>
      <c r="P53" s="295">
        <v>797000</v>
      </c>
      <c r="Q53" s="295">
        <v>361300</v>
      </c>
      <c r="R53" s="272">
        <v>1.25</v>
      </c>
    </row>
    <row r="54" spans="12:18" ht="18" customHeight="1">
      <c r="L54" s="267" t="s">
        <v>2778</v>
      </c>
      <c r="M54" s="268" t="s">
        <v>248</v>
      </c>
      <c r="N54" s="292" t="s">
        <v>2779</v>
      </c>
      <c r="O54" s="270" t="s">
        <v>69</v>
      </c>
      <c r="P54" s="295">
        <v>940000</v>
      </c>
      <c r="Q54" s="295">
        <v>393500</v>
      </c>
      <c r="R54" s="272">
        <v>1.45</v>
      </c>
    </row>
    <row r="55" spans="12:18" ht="18" customHeight="1">
      <c r="L55" s="267" t="s">
        <v>2780</v>
      </c>
      <c r="M55" s="268" t="s">
        <v>248</v>
      </c>
      <c r="N55" s="292" t="s">
        <v>2781</v>
      </c>
      <c r="O55" s="270" t="s">
        <v>69</v>
      </c>
      <c r="P55" s="295">
        <v>950000</v>
      </c>
      <c r="Q55" s="295">
        <v>410400</v>
      </c>
      <c r="R55" s="272">
        <v>1.45</v>
      </c>
    </row>
    <row r="56" spans="12:18" ht="18" customHeight="1">
      <c r="L56" s="267" t="s">
        <v>2782</v>
      </c>
      <c r="M56" s="268" t="s">
        <v>248</v>
      </c>
      <c r="N56" s="292" t="s">
        <v>2783</v>
      </c>
      <c r="O56" s="270" t="s">
        <v>69</v>
      </c>
      <c r="P56" s="295">
        <v>917000</v>
      </c>
      <c r="Q56" s="295">
        <v>404200</v>
      </c>
      <c r="R56" s="272">
        <v>1.45</v>
      </c>
    </row>
    <row r="57" spans="12:18" ht="18" customHeight="1">
      <c r="L57" s="267" t="s">
        <v>2784</v>
      </c>
      <c r="M57" s="268" t="s">
        <v>248</v>
      </c>
      <c r="N57" s="292" t="s">
        <v>2785</v>
      </c>
      <c r="O57" s="270" t="s">
        <v>69</v>
      </c>
      <c r="P57" s="295">
        <v>1146000</v>
      </c>
      <c r="Q57" s="295">
        <v>433900</v>
      </c>
      <c r="R57" s="272">
        <v>1.7</v>
      </c>
    </row>
    <row r="58" spans="12:18" ht="18" customHeight="1">
      <c r="L58" s="267" t="s">
        <v>2786</v>
      </c>
      <c r="M58" s="268" t="s">
        <v>248</v>
      </c>
      <c r="N58" s="292" t="s">
        <v>2787</v>
      </c>
      <c r="O58" s="270" t="s">
        <v>69</v>
      </c>
      <c r="P58" s="295">
        <v>1183000</v>
      </c>
      <c r="Q58" s="295">
        <v>453100</v>
      </c>
      <c r="R58" s="272">
        <v>1.7</v>
      </c>
    </row>
    <row r="59" spans="12:18" ht="18" customHeight="1">
      <c r="L59" s="267" t="s">
        <v>2788</v>
      </c>
      <c r="M59" s="268" t="s">
        <v>248</v>
      </c>
      <c r="N59" s="292" t="s">
        <v>2789</v>
      </c>
      <c r="O59" s="270" t="s">
        <v>69</v>
      </c>
      <c r="P59" s="295">
        <v>1118000</v>
      </c>
      <c r="Q59" s="295">
        <v>429800</v>
      </c>
      <c r="R59" s="272">
        <v>1.7</v>
      </c>
    </row>
    <row r="60" spans="12:18" ht="18" customHeight="1">
      <c r="L60" s="267" t="s">
        <v>2790</v>
      </c>
      <c r="M60" s="268" t="s">
        <v>248</v>
      </c>
      <c r="N60" s="292" t="s">
        <v>2791</v>
      </c>
      <c r="O60" s="270" t="s">
        <v>69</v>
      </c>
      <c r="P60" s="295">
        <v>1284000</v>
      </c>
      <c r="Q60" s="295">
        <v>543300</v>
      </c>
      <c r="R60" s="272">
        <v>2</v>
      </c>
    </row>
    <row r="61" spans="12:18" ht="18" customHeight="1">
      <c r="L61" s="267" t="s">
        <v>2792</v>
      </c>
      <c r="M61" s="268" t="s">
        <v>248</v>
      </c>
      <c r="N61" s="292" t="s">
        <v>2793</v>
      </c>
      <c r="O61" s="270" t="s">
        <v>69</v>
      </c>
      <c r="P61" s="295">
        <v>1332000</v>
      </c>
      <c r="Q61" s="295">
        <v>582400</v>
      </c>
      <c r="R61" s="272">
        <v>2</v>
      </c>
    </row>
    <row r="62" spans="12:18" ht="18" customHeight="1">
      <c r="L62" s="267" t="s">
        <v>2794</v>
      </c>
      <c r="M62" s="268" t="s">
        <v>248</v>
      </c>
      <c r="N62" s="292" t="s">
        <v>2795</v>
      </c>
      <c r="O62" s="270" t="s">
        <v>69</v>
      </c>
      <c r="P62" s="295">
        <v>1251000</v>
      </c>
      <c r="Q62" s="295">
        <v>523800</v>
      </c>
      <c r="R62" s="272">
        <v>2</v>
      </c>
    </row>
    <row r="63" spans="12:18" ht="18" customHeight="1">
      <c r="L63" s="267" t="s">
        <v>2796</v>
      </c>
      <c r="M63" s="268" t="s">
        <v>248</v>
      </c>
      <c r="N63" s="292" t="s">
        <v>2797</v>
      </c>
      <c r="O63" s="270" t="s">
        <v>69</v>
      </c>
      <c r="P63" s="295">
        <v>1423000</v>
      </c>
      <c r="Q63" s="295">
        <v>601600</v>
      </c>
      <c r="R63" s="272">
        <v>2.2000000000000002</v>
      </c>
    </row>
    <row r="64" spans="12:18" ht="18" customHeight="1">
      <c r="L64" s="267" t="s">
        <v>2798</v>
      </c>
      <c r="M64" s="268" t="s">
        <v>248</v>
      </c>
      <c r="N64" s="292" t="s">
        <v>2799</v>
      </c>
      <c r="O64" s="270" t="s">
        <v>69</v>
      </c>
      <c r="P64" s="295">
        <v>1490000</v>
      </c>
      <c r="Q64" s="295">
        <v>653300</v>
      </c>
      <c r="R64" s="272">
        <v>2.2000000000000002</v>
      </c>
    </row>
    <row r="65" spans="12:18" ht="18" customHeight="1">
      <c r="L65" s="267" t="s">
        <v>2800</v>
      </c>
      <c r="M65" s="268" t="s">
        <v>248</v>
      </c>
      <c r="N65" s="292" t="s">
        <v>2801</v>
      </c>
      <c r="O65" s="270" t="s">
        <v>69</v>
      </c>
      <c r="P65" s="295">
        <v>1386000</v>
      </c>
      <c r="Q65" s="295">
        <v>580600</v>
      </c>
      <c r="R65" s="272">
        <v>2.2000000000000002</v>
      </c>
    </row>
    <row r="66" spans="12:18" ht="18" customHeight="1">
      <c r="L66" s="273" t="s">
        <v>2802</v>
      </c>
      <c r="M66" s="274" t="s">
        <v>248</v>
      </c>
      <c r="N66" s="293" t="s">
        <v>2803</v>
      </c>
      <c r="O66" s="276" t="s">
        <v>69</v>
      </c>
      <c r="P66" s="296">
        <v>1950000</v>
      </c>
      <c r="Q66" s="296">
        <v>959300</v>
      </c>
      <c r="R66" s="278">
        <v>2.5</v>
      </c>
    </row>
    <row r="67" spans="12:18" ht="18" customHeight="1">
      <c r="L67" s="261" t="s">
        <v>2804</v>
      </c>
      <c r="M67" s="279" t="s">
        <v>248</v>
      </c>
      <c r="N67" s="291" t="s">
        <v>2805</v>
      </c>
      <c r="O67" s="281" t="s">
        <v>69</v>
      </c>
      <c r="P67" s="294">
        <v>808000</v>
      </c>
      <c r="Q67" s="294">
        <v>341100</v>
      </c>
      <c r="R67" s="283">
        <v>1.25</v>
      </c>
    </row>
    <row r="68" spans="12:18" ht="18" customHeight="1">
      <c r="L68" s="267" t="s">
        <v>2806</v>
      </c>
      <c r="M68" s="268" t="s">
        <v>248</v>
      </c>
      <c r="N68" s="292" t="s">
        <v>2807</v>
      </c>
      <c r="O68" s="270" t="s">
        <v>69</v>
      </c>
      <c r="P68" s="295">
        <v>820000</v>
      </c>
      <c r="Q68" s="295">
        <v>361900</v>
      </c>
      <c r="R68" s="272">
        <v>1.25</v>
      </c>
    </row>
    <row r="69" spans="12:18" ht="18" customHeight="1">
      <c r="L69" s="267" t="s">
        <v>2808</v>
      </c>
      <c r="M69" s="268" t="s">
        <v>248</v>
      </c>
      <c r="N69" s="292" t="s">
        <v>2809</v>
      </c>
      <c r="O69" s="270" t="s">
        <v>69</v>
      </c>
      <c r="P69" s="295">
        <v>1075000</v>
      </c>
      <c r="Q69" s="295">
        <v>394500</v>
      </c>
      <c r="R69" s="272">
        <v>1.45</v>
      </c>
    </row>
    <row r="70" spans="12:18" ht="18" customHeight="1">
      <c r="L70" s="267" t="s">
        <v>2810</v>
      </c>
      <c r="M70" s="268" t="s">
        <v>248</v>
      </c>
      <c r="N70" s="292" t="s">
        <v>2811</v>
      </c>
      <c r="O70" s="270" t="s">
        <v>69</v>
      </c>
      <c r="P70" s="295">
        <v>1084000</v>
      </c>
      <c r="Q70" s="295">
        <v>410500</v>
      </c>
      <c r="R70" s="272">
        <v>1.45</v>
      </c>
    </row>
    <row r="71" spans="12:18" ht="18" customHeight="1">
      <c r="L71" s="267" t="s">
        <v>2812</v>
      </c>
      <c r="M71" s="268" t="s">
        <v>248</v>
      </c>
      <c r="N71" s="292" t="s">
        <v>2813</v>
      </c>
      <c r="O71" s="270" t="s">
        <v>69</v>
      </c>
      <c r="P71" s="295">
        <v>1050000</v>
      </c>
      <c r="Q71" s="295">
        <v>381300</v>
      </c>
      <c r="R71" s="272">
        <v>1.45</v>
      </c>
    </row>
    <row r="72" spans="12:18" ht="18" customHeight="1">
      <c r="L72" s="267" t="s">
        <v>2814</v>
      </c>
      <c r="M72" s="268" t="s">
        <v>248</v>
      </c>
      <c r="N72" s="292" t="s">
        <v>2815</v>
      </c>
      <c r="O72" s="270" t="s">
        <v>69</v>
      </c>
      <c r="P72" s="295">
        <v>1296000</v>
      </c>
      <c r="Q72" s="295">
        <v>433900</v>
      </c>
      <c r="R72" s="272">
        <v>1.7</v>
      </c>
    </row>
    <row r="73" spans="12:18" ht="18" customHeight="1">
      <c r="L73" s="267" t="s">
        <v>2816</v>
      </c>
      <c r="M73" s="268" t="s">
        <v>248</v>
      </c>
      <c r="N73" s="292" t="s">
        <v>2817</v>
      </c>
      <c r="O73" s="270" t="s">
        <v>69</v>
      </c>
      <c r="P73" s="295">
        <v>1331000</v>
      </c>
      <c r="Q73" s="295">
        <v>453100</v>
      </c>
      <c r="R73" s="272">
        <v>1.7</v>
      </c>
    </row>
    <row r="74" spans="12:18" ht="18" customHeight="1">
      <c r="L74" s="267" t="s">
        <v>2818</v>
      </c>
      <c r="M74" s="268" t="s">
        <v>248</v>
      </c>
      <c r="N74" s="292" t="s">
        <v>2819</v>
      </c>
      <c r="O74" s="270" t="s">
        <v>69</v>
      </c>
      <c r="P74" s="295">
        <v>1268000</v>
      </c>
      <c r="Q74" s="295">
        <v>429800</v>
      </c>
      <c r="R74" s="272">
        <v>1.7</v>
      </c>
    </row>
    <row r="75" spans="12:18" ht="18" customHeight="1">
      <c r="L75" s="267" t="s">
        <v>2820</v>
      </c>
      <c r="M75" s="268" t="s">
        <v>248</v>
      </c>
      <c r="N75" s="292" t="s">
        <v>2821</v>
      </c>
      <c r="O75" s="270" t="s">
        <v>69</v>
      </c>
      <c r="P75" s="295">
        <v>1418000</v>
      </c>
      <c r="Q75" s="295">
        <v>543300</v>
      </c>
      <c r="R75" s="272">
        <v>2</v>
      </c>
    </row>
    <row r="76" spans="12:18" ht="18" customHeight="1">
      <c r="L76" s="267" t="s">
        <v>2822</v>
      </c>
      <c r="M76" s="268" t="s">
        <v>248</v>
      </c>
      <c r="N76" s="292" t="s">
        <v>2823</v>
      </c>
      <c r="O76" s="270" t="s">
        <v>69</v>
      </c>
      <c r="P76" s="295">
        <v>1464000</v>
      </c>
      <c r="Q76" s="295">
        <v>582400</v>
      </c>
      <c r="R76" s="272">
        <v>2</v>
      </c>
    </row>
    <row r="77" spans="12:18" ht="18" customHeight="1">
      <c r="L77" s="267" t="s">
        <v>2824</v>
      </c>
      <c r="M77" s="268" t="s">
        <v>248</v>
      </c>
      <c r="N77" s="292" t="s">
        <v>2825</v>
      </c>
      <c r="O77" s="270" t="s">
        <v>69</v>
      </c>
      <c r="P77" s="295">
        <v>1383000</v>
      </c>
      <c r="Q77" s="295">
        <v>523800</v>
      </c>
      <c r="R77" s="272">
        <v>2</v>
      </c>
    </row>
    <row r="78" spans="12:18" ht="18" customHeight="1">
      <c r="L78" s="267" t="s">
        <v>2826</v>
      </c>
      <c r="M78" s="268" t="s">
        <v>248</v>
      </c>
      <c r="N78" s="292" t="s">
        <v>2827</v>
      </c>
      <c r="O78" s="270" t="s">
        <v>69</v>
      </c>
      <c r="P78" s="295">
        <v>1558000</v>
      </c>
      <c r="Q78" s="295">
        <v>601600</v>
      </c>
      <c r="R78" s="272">
        <v>2.2000000000000002</v>
      </c>
    </row>
    <row r="79" spans="12:18" ht="18" customHeight="1">
      <c r="L79" s="267" t="s">
        <v>2828</v>
      </c>
      <c r="M79" s="268" t="s">
        <v>248</v>
      </c>
      <c r="N79" s="292" t="s">
        <v>2829</v>
      </c>
      <c r="O79" s="270" t="s">
        <v>69</v>
      </c>
      <c r="P79" s="295">
        <v>1609000</v>
      </c>
      <c r="Q79" s="295">
        <v>653300</v>
      </c>
      <c r="R79" s="272">
        <v>2.2000000000000002</v>
      </c>
    </row>
    <row r="80" spans="12:18" ht="18" customHeight="1">
      <c r="L80" s="267" t="s">
        <v>2830</v>
      </c>
      <c r="M80" s="268" t="s">
        <v>248</v>
      </c>
      <c r="N80" s="292" t="s">
        <v>2831</v>
      </c>
      <c r="O80" s="270" t="s">
        <v>69</v>
      </c>
      <c r="P80" s="295">
        <v>1440000</v>
      </c>
      <c r="Q80" s="295">
        <v>580600</v>
      </c>
      <c r="R80" s="272">
        <v>2.2000000000000002</v>
      </c>
    </row>
    <row r="81" spans="12:18" ht="18" customHeight="1">
      <c r="L81" s="273" t="s">
        <v>2832</v>
      </c>
      <c r="M81" s="274" t="s">
        <v>248</v>
      </c>
      <c r="N81" s="293" t="s">
        <v>2833</v>
      </c>
      <c r="O81" s="276" t="s">
        <v>69</v>
      </c>
      <c r="P81" s="296">
        <v>1950000</v>
      </c>
      <c r="Q81" s="296">
        <v>945800</v>
      </c>
      <c r="R81" s="278">
        <v>2.5</v>
      </c>
    </row>
    <row r="82" spans="12:18" ht="18" customHeight="1">
      <c r="L82" s="261" t="s">
        <v>2834</v>
      </c>
      <c r="M82" s="279" t="s">
        <v>251</v>
      </c>
      <c r="N82" s="291" t="s">
        <v>2835</v>
      </c>
      <c r="O82" s="281" t="s">
        <v>69</v>
      </c>
      <c r="P82" s="294">
        <v>234000</v>
      </c>
      <c r="Q82" s="294">
        <v>93700</v>
      </c>
      <c r="R82" s="283">
        <v>0.52</v>
      </c>
    </row>
    <row r="83" spans="12:18" ht="18" customHeight="1">
      <c r="L83" s="267" t="s">
        <v>2836</v>
      </c>
      <c r="M83" s="268" t="s">
        <v>251</v>
      </c>
      <c r="N83" s="292" t="s">
        <v>2837</v>
      </c>
      <c r="O83" s="270" t="s">
        <v>69</v>
      </c>
      <c r="P83" s="295">
        <v>282000</v>
      </c>
      <c r="Q83" s="295">
        <v>100500</v>
      </c>
      <c r="R83" s="272">
        <v>0.7</v>
      </c>
    </row>
    <row r="84" spans="12:18" ht="18" customHeight="1">
      <c r="L84" s="267" t="s">
        <v>2838</v>
      </c>
      <c r="M84" s="268" t="s">
        <v>251</v>
      </c>
      <c r="N84" s="292" t="s">
        <v>2839</v>
      </c>
      <c r="O84" s="270" t="s">
        <v>69</v>
      </c>
      <c r="P84" s="295">
        <v>348000</v>
      </c>
      <c r="Q84" s="295">
        <v>121900</v>
      </c>
      <c r="R84" s="272">
        <v>0.9</v>
      </c>
    </row>
    <row r="85" spans="12:18" ht="18" customHeight="1">
      <c r="L85" s="267" t="s">
        <v>2840</v>
      </c>
      <c r="M85" s="268" t="s">
        <v>251</v>
      </c>
      <c r="N85" s="292" t="s">
        <v>2841</v>
      </c>
      <c r="O85" s="270" t="s">
        <v>69</v>
      </c>
      <c r="P85" s="295">
        <v>383000</v>
      </c>
      <c r="Q85" s="295">
        <v>129600</v>
      </c>
      <c r="R85" s="272">
        <v>0.9</v>
      </c>
    </row>
    <row r="86" spans="12:18" ht="18" customHeight="1">
      <c r="L86" s="267" t="s">
        <v>2842</v>
      </c>
      <c r="M86" s="268" t="s">
        <v>251</v>
      </c>
      <c r="N86" s="292" t="s">
        <v>2843</v>
      </c>
      <c r="O86" s="270" t="s">
        <v>69</v>
      </c>
      <c r="P86" s="295">
        <v>470000</v>
      </c>
      <c r="Q86" s="295">
        <v>179500</v>
      </c>
      <c r="R86" s="272">
        <v>0.9</v>
      </c>
    </row>
    <row r="87" spans="12:18" ht="18" customHeight="1">
      <c r="L87" s="267" t="s">
        <v>2844</v>
      </c>
      <c r="M87" s="268" t="s">
        <v>251</v>
      </c>
      <c r="N87" s="292" t="s">
        <v>518</v>
      </c>
      <c r="O87" s="270" t="s">
        <v>69</v>
      </c>
      <c r="P87" s="295">
        <v>276000</v>
      </c>
      <c r="Q87" s="295">
        <v>118300</v>
      </c>
      <c r="R87" s="272">
        <v>0.52</v>
      </c>
    </row>
    <row r="88" spans="12:18" ht="18" customHeight="1">
      <c r="L88" s="267" t="s">
        <v>2845</v>
      </c>
      <c r="M88" s="268" t="s">
        <v>251</v>
      </c>
      <c r="N88" s="292" t="s">
        <v>555</v>
      </c>
      <c r="O88" s="270" t="s">
        <v>69</v>
      </c>
      <c r="P88" s="295">
        <v>318000</v>
      </c>
      <c r="Q88" s="295">
        <v>121200</v>
      </c>
      <c r="R88" s="272">
        <v>0.7</v>
      </c>
    </row>
    <row r="89" spans="12:18" ht="18" customHeight="1">
      <c r="L89" s="267" t="s">
        <v>2846</v>
      </c>
      <c r="M89" s="268" t="s">
        <v>251</v>
      </c>
      <c r="N89" s="292" t="s">
        <v>589</v>
      </c>
      <c r="O89" s="270" t="s">
        <v>69</v>
      </c>
      <c r="P89" s="295">
        <v>386000</v>
      </c>
      <c r="Q89" s="295">
        <v>155800</v>
      </c>
      <c r="R89" s="272">
        <v>0.9</v>
      </c>
    </row>
    <row r="90" spans="12:18" ht="18" customHeight="1">
      <c r="L90" s="267" t="s">
        <v>2847</v>
      </c>
      <c r="M90" s="268" t="s">
        <v>251</v>
      </c>
      <c r="N90" s="292" t="s">
        <v>622</v>
      </c>
      <c r="O90" s="270" t="s">
        <v>69</v>
      </c>
      <c r="P90" s="295">
        <v>422000</v>
      </c>
      <c r="Q90" s="295">
        <v>167900</v>
      </c>
      <c r="R90" s="272">
        <v>0.9</v>
      </c>
    </row>
    <row r="91" spans="12:18" ht="18" customHeight="1">
      <c r="L91" s="267" t="s">
        <v>2848</v>
      </c>
      <c r="M91" s="268" t="s">
        <v>251</v>
      </c>
      <c r="N91" s="292" t="s">
        <v>2849</v>
      </c>
      <c r="O91" s="270" t="s">
        <v>69</v>
      </c>
      <c r="P91" s="295">
        <v>490000</v>
      </c>
      <c r="Q91" s="295">
        <v>188500</v>
      </c>
      <c r="R91" s="272">
        <v>0.9</v>
      </c>
    </row>
    <row r="92" spans="12:18" ht="18" customHeight="1">
      <c r="L92" s="267" t="s">
        <v>2850</v>
      </c>
      <c r="M92" s="268" t="s">
        <v>251</v>
      </c>
      <c r="N92" s="292" t="s">
        <v>2851</v>
      </c>
      <c r="O92" s="270" t="s">
        <v>69</v>
      </c>
      <c r="P92" s="295">
        <v>357000</v>
      </c>
      <c r="Q92" s="295">
        <v>169300</v>
      </c>
      <c r="R92" s="272">
        <v>0.7</v>
      </c>
    </row>
    <row r="93" spans="12:18" ht="18" customHeight="1">
      <c r="L93" s="267" t="s">
        <v>2852</v>
      </c>
      <c r="M93" s="268" t="s">
        <v>251</v>
      </c>
      <c r="N93" s="292" t="s">
        <v>2853</v>
      </c>
      <c r="O93" s="270" t="s">
        <v>69</v>
      </c>
      <c r="P93" s="295">
        <v>381000</v>
      </c>
      <c r="Q93" s="295">
        <v>159800</v>
      </c>
      <c r="R93" s="272">
        <v>0.9</v>
      </c>
    </row>
    <row r="94" spans="12:18" ht="18" customHeight="1">
      <c r="L94" s="273" t="s">
        <v>2854</v>
      </c>
      <c r="M94" s="274" t="s">
        <v>251</v>
      </c>
      <c r="N94" s="293" t="s">
        <v>2855</v>
      </c>
      <c r="O94" s="276" t="s">
        <v>69</v>
      </c>
      <c r="P94" s="296">
        <v>427000</v>
      </c>
      <c r="Q94" s="296">
        <v>186700</v>
      </c>
      <c r="R94" s="278">
        <v>0.9</v>
      </c>
    </row>
    <row r="95" spans="12:18" ht="18" customHeight="1">
      <c r="L95" s="261" t="s">
        <v>2856</v>
      </c>
      <c r="M95" s="279" t="s">
        <v>2857</v>
      </c>
      <c r="N95" s="291" t="s">
        <v>933</v>
      </c>
      <c r="O95" s="281" t="s">
        <v>69</v>
      </c>
      <c r="P95" s="294">
        <v>307000</v>
      </c>
      <c r="Q95" s="294">
        <v>122000</v>
      </c>
      <c r="R95" s="283">
        <v>0.7</v>
      </c>
    </row>
    <row r="96" spans="12:18" ht="18" customHeight="1">
      <c r="L96" s="267" t="s">
        <v>2858</v>
      </c>
      <c r="M96" s="268" t="s">
        <v>2857</v>
      </c>
      <c r="N96" s="292" t="s">
        <v>890</v>
      </c>
      <c r="O96" s="270" t="s">
        <v>69</v>
      </c>
      <c r="P96" s="295">
        <v>240000</v>
      </c>
      <c r="Q96" s="295">
        <v>118800</v>
      </c>
      <c r="R96" s="272">
        <v>0.5</v>
      </c>
    </row>
    <row r="97" spans="12:18" ht="18" customHeight="1">
      <c r="L97" s="267" t="s">
        <v>2859</v>
      </c>
      <c r="M97" s="268" t="s">
        <v>2857</v>
      </c>
      <c r="N97" s="292" t="s">
        <v>909</v>
      </c>
      <c r="O97" s="270" t="s">
        <v>69</v>
      </c>
      <c r="P97" s="295">
        <v>256000</v>
      </c>
      <c r="Q97" s="295">
        <v>125400</v>
      </c>
      <c r="R97" s="272">
        <v>0.5</v>
      </c>
    </row>
    <row r="98" spans="12:18" ht="18" customHeight="1">
      <c r="L98" s="267" t="s">
        <v>2860</v>
      </c>
      <c r="M98" s="268" t="s">
        <v>2857</v>
      </c>
      <c r="N98" s="292" t="s">
        <v>1073</v>
      </c>
      <c r="O98" s="270" t="s">
        <v>69</v>
      </c>
      <c r="P98" s="295">
        <v>407000</v>
      </c>
      <c r="Q98" s="295">
        <v>196200</v>
      </c>
      <c r="R98" s="272">
        <v>0.7</v>
      </c>
    </row>
    <row r="99" spans="12:18" ht="18" customHeight="1">
      <c r="L99" s="267" t="s">
        <v>2861</v>
      </c>
      <c r="M99" s="268" t="s">
        <v>2857</v>
      </c>
      <c r="N99" s="292" t="s">
        <v>1040</v>
      </c>
      <c r="O99" s="270" t="s">
        <v>69</v>
      </c>
      <c r="P99" s="295">
        <v>372000</v>
      </c>
      <c r="Q99" s="295">
        <v>173300</v>
      </c>
      <c r="R99" s="272">
        <v>0.5</v>
      </c>
    </row>
    <row r="100" spans="12:18" ht="18" customHeight="1">
      <c r="L100" s="267" t="s">
        <v>2862</v>
      </c>
      <c r="M100" s="268" t="s">
        <v>2857</v>
      </c>
      <c r="N100" s="292" t="s">
        <v>1059</v>
      </c>
      <c r="O100" s="270" t="s">
        <v>69</v>
      </c>
      <c r="P100" s="295">
        <v>385000</v>
      </c>
      <c r="Q100" s="295">
        <v>181400</v>
      </c>
      <c r="R100" s="272">
        <v>0.5</v>
      </c>
    </row>
    <row r="101" spans="12:18" ht="18" customHeight="1">
      <c r="L101" s="273" t="s">
        <v>2863</v>
      </c>
      <c r="M101" s="274" t="s">
        <v>2857</v>
      </c>
      <c r="N101" s="293" t="s">
        <v>961</v>
      </c>
      <c r="O101" s="276" t="s">
        <v>69</v>
      </c>
      <c r="P101" s="296">
        <v>400000</v>
      </c>
      <c r="Q101" s="296">
        <v>190000</v>
      </c>
      <c r="R101" s="278">
        <v>0.9</v>
      </c>
    </row>
    <row r="102" spans="12:18" ht="18" customHeight="1">
      <c r="L102" s="261"/>
      <c r="M102" s="279" t="s">
        <v>2864</v>
      </c>
      <c r="N102" s="291" t="s">
        <v>2865</v>
      </c>
      <c r="O102" s="281" t="s">
        <v>53</v>
      </c>
      <c r="P102" s="294">
        <v>788000</v>
      </c>
      <c r="Q102" s="294">
        <v>360000</v>
      </c>
      <c r="R102" s="283">
        <v>1</v>
      </c>
    </row>
    <row r="103" spans="12:18" ht="18" customHeight="1">
      <c r="L103" s="267"/>
      <c r="M103" s="268" t="s">
        <v>2864</v>
      </c>
      <c r="N103" s="292" t="s">
        <v>2866</v>
      </c>
      <c r="O103" s="270" t="s">
        <v>53</v>
      </c>
      <c r="P103" s="295">
        <v>788000</v>
      </c>
      <c r="Q103" s="295">
        <v>360000</v>
      </c>
      <c r="R103" s="272">
        <v>1</v>
      </c>
    </row>
    <row r="104" spans="12:18" ht="18" customHeight="1">
      <c r="L104" s="273"/>
      <c r="M104" s="274" t="s">
        <v>2864</v>
      </c>
      <c r="N104" s="293" t="s">
        <v>2867</v>
      </c>
      <c r="O104" s="276" t="s">
        <v>53</v>
      </c>
      <c r="P104" s="296">
        <v>836000</v>
      </c>
      <c r="Q104" s="296">
        <v>400000</v>
      </c>
      <c r="R104" s="278">
        <v>1</v>
      </c>
    </row>
    <row r="105" spans="12:18" ht="18" customHeight="1">
      <c r="L105" s="261" t="s">
        <v>2868</v>
      </c>
      <c r="M105" s="279" t="s">
        <v>436</v>
      </c>
      <c r="N105" s="291" t="s">
        <v>2869</v>
      </c>
      <c r="O105" s="281" t="s">
        <v>69</v>
      </c>
      <c r="P105" s="294">
        <v>637000</v>
      </c>
      <c r="Q105" s="294">
        <v>349700</v>
      </c>
      <c r="R105" s="283">
        <v>1</v>
      </c>
    </row>
    <row r="106" spans="12:18" ht="18" customHeight="1">
      <c r="L106" s="267" t="s">
        <v>2870</v>
      </c>
      <c r="M106" s="268" t="s">
        <v>436</v>
      </c>
      <c r="N106" s="292" t="s">
        <v>2871</v>
      </c>
      <c r="O106" s="270" t="s">
        <v>69</v>
      </c>
      <c r="P106" s="295">
        <v>925000</v>
      </c>
      <c r="Q106" s="295">
        <v>492500</v>
      </c>
      <c r="R106" s="272">
        <v>1.1499999999999999</v>
      </c>
    </row>
    <row r="107" spans="12:18" ht="18" customHeight="1">
      <c r="L107" s="267" t="s">
        <v>2872</v>
      </c>
      <c r="M107" s="268" t="s">
        <v>436</v>
      </c>
      <c r="N107" s="292" t="s">
        <v>2873</v>
      </c>
      <c r="O107" s="270" t="s">
        <v>69</v>
      </c>
      <c r="P107" s="295">
        <v>1020000</v>
      </c>
      <c r="Q107" s="295">
        <v>494400</v>
      </c>
      <c r="R107" s="272">
        <v>1.6</v>
      </c>
    </row>
    <row r="108" spans="12:18" ht="18" customHeight="1">
      <c r="L108" s="267" t="s">
        <v>2874</v>
      </c>
      <c r="M108" s="268" t="s">
        <v>436</v>
      </c>
      <c r="N108" s="292" t="s">
        <v>2875</v>
      </c>
      <c r="O108" s="270" t="s">
        <v>69</v>
      </c>
      <c r="P108" s="295">
        <v>1448000</v>
      </c>
      <c r="Q108" s="295">
        <v>660000</v>
      </c>
      <c r="R108" s="272">
        <v>1.7</v>
      </c>
    </row>
    <row r="109" spans="12:18" ht="18" customHeight="1">
      <c r="L109" s="267" t="s">
        <v>2876</v>
      </c>
      <c r="M109" s="268" t="s">
        <v>436</v>
      </c>
      <c r="N109" s="292" t="s">
        <v>2877</v>
      </c>
      <c r="O109" s="270" t="s">
        <v>69</v>
      </c>
      <c r="P109" s="295">
        <v>1747000</v>
      </c>
      <c r="Q109" s="295">
        <v>823200</v>
      </c>
      <c r="R109" s="272">
        <v>2.2999999999999998</v>
      </c>
    </row>
    <row r="110" spans="12:18" ht="18" customHeight="1">
      <c r="L110" s="267" t="s">
        <v>2878</v>
      </c>
      <c r="M110" s="268" t="s">
        <v>436</v>
      </c>
      <c r="N110" s="292" t="s">
        <v>2879</v>
      </c>
      <c r="O110" s="270" t="s">
        <v>69</v>
      </c>
      <c r="P110" s="295">
        <v>1848000</v>
      </c>
      <c r="Q110" s="295">
        <v>876100</v>
      </c>
      <c r="R110" s="272">
        <v>2.75</v>
      </c>
    </row>
    <row r="111" spans="12:18" ht="18" customHeight="1">
      <c r="L111" s="267" t="s">
        <v>2880</v>
      </c>
      <c r="M111" s="268" t="s">
        <v>436</v>
      </c>
      <c r="N111" s="292" t="s">
        <v>2881</v>
      </c>
      <c r="O111" s="270" t="s">
        <v>69</v>
      </c>
      <c r="P111" s="295">
        <v>2215000</v>
      </c>
      <c r="Q111" s="295">
        <v>1038600</v>
      </c>
      <c r="R111" s="272">
        <v>3.4</v>
      </c>
    </row>
    <row r="112" spans="12:18" ht="18" customHeight="1">
      <c r="L112" s="267" t="s">
        <v>2882</v>
      </c>
      <c r="M112" s="268" t="s">
        <v>436</v>
      </c>
      <c r="N112" s="292" t="s">
        <v>2883</v>
      </c>
      <c r="O112" s="270" t="s">
        <v>69</v>
      </c>
      <c r="P112" s="295">
        <v>2420000</v>
      </c>
      <c r="Q112" s="295">
        <v>1122400</v>
      </c>
      <c r="R112" s="272">
        <v>4</v>
      </c>
    </row>
    <row r="113" spans="12:18" ht="18" customHeight="1">
      <c r="L113" s="267" t="s">
        <v>2884</v>
      </c>
      <c r="M113" s="268" t="s">
        <v>254</v>
      </c>
      <c r="N113" s="292" t="s">
        <v>321</v>
      </c>
      <c r="O113" s="270" t="s">
        <v>69</v>
      </c>
      <c r="P113" s="295">
        <v>330000</v>
      </c>
      <c r="Q113" s="295">
        <v>152700</v>
      </c>
      <c r="R113" s="272">
        <v>1</v>
      </c>
    </row>
    <row r="114" spans="12:18" ht="18" customHeight="1">
      <c r="L114" s="267" t="s">
        <v>2885</v>
      </c>
      <c r="M114" s="268" t="s">
        <v>254</v>
      </c>
      <c r="N114" s="292" t="s">
        <v>364</v>
      </c>
      <c r="O114" s="270" t="s">
        <v>69</v>
      </c>
      <c r="P114" s="295">
        <v>368000</v>
      </c>
      <c r="Q114" s="295">
        <v>154400</v>
      </c>
      <c r="R114" s="272">
        <v>1</v>
      </c>
    </row>
    <row r="115" spans="12:18" ht="18" customHeight="1">
      <c r="L115" s="267" t="s">
        <v>2886</v>
      </c>
      <c r="M115" s="268" t="s">
        <v>254</v>
      </c>
      <c r="N115" s="292" t="s">
        <v>255</v>
      </c>
      <c r="O115" s="270" t="s">
        <v>69</v>
      </c>
      <c r="P115" s="295">
        <v>328000</v>
      </c>
      <c r="Q115" s="295">
        <v>147400</v>
      </c>
      <c r="R115" s="272">
        <v>1</v>
      </c>
    </row>
    <row r="116" spans="12:18" ht="18" customHeight="1">
      <c r="L116" s="273"/>
      <c r="M116" s="268" t="s">
        <v>2887</v>
      </c>
      <c r="N116" s="292" t="s">
        <v>2888</v>
      </c>
      <c r="O116" s="270" t="s">
        <v>69</v>
      </c>
      <c r="P116" s="295">
        <v>4930000</v>
      </c>
      <c r="Q116" s="295">
        <v>2400000</v>
      </c>
      <c r="R116" s="272">
        <v>7</v>
      </c>
    </row>
    <row r="117" spans="12:18" ht="18" customHeight="1">
      <c r="L117" s="261" t="s">
        <v>2889</v>
      </c>
      <c r="M117" s="279" t="s">
        <v>263</v>
      </c>
      <c r="N117" s="291" t="s">
        <v>2890</v>
      </c>
      <c r="O117" s="281" t="s">
        <v>69</v>
      </c>
      <c r="P117" s="294">
        <v>730000</v>
      </c>
      <c r="Q117" s="294">
        <v>363400</v>
      </c>
      <c r="R117" s="283">
        <v>1.2</v>
      </c>
    </row>
    <row r="118" spans="12:18" ht="18" customHeight="1">
      <c r="L118" s="267" t="s">
        <v>2891</v>
      </c>
      <c r="M118" s="268" t="s">
        <v>263</v>
      </c>
      <c r="N118" s="292" t="s">
        <v>2892</v>
      </c>
      <c r="O118" s="270" t="s">
        <v>69</v>
      </c>
      <c r="P118" s="295">
        <v>797000</v>
      </c>
      <c r="Q118" s="295">
        <v>379300</v>
      </c>
      <c r="R118" s="272">
        <v>1.4</v>
      </c>
    </row>
    <row r="119" spans="12:18" ht="18" customHeight="1">
      <c r="L119" s="267" t="s">
        <v>2893</v>
      </c>
      <c r="M119" s="268" t="s">
        <v>263</v>
      </c>
      <c r="N119" s="292" t="s">
        <v>264</v>
      </c>
      <c r="O119" s="270" t="s">
        <v>69</v>
      </c>
      <c r="P119" s="295">
        <v>948000</v>
      </c>
      <c r="Q119" s="295">
        <v>448400</v>
      </c>
      <c r="R119" s="272">
        <v>1.2</v>
      </c>
    </row>
    <row r="120" spans="12:18" ht="18" customHeight="1">
      <c r="L120" s="297" t="s">
        <v>2894</v>
      </c>
      <c r="M120" s="274" t="s">
        <v>263</v>
      </c>
      <c r="N120" s="293" t="s">
        <v>327</v>
      </c>
      <c r="O120" s="276" t="s">
        <v>69</v>
      </c>
      <c r="P120" s="296">
        <v>984000</v>
      </c>
      <c r="Q120" s="296">
        <v>487900</v>
      </c>
      <c r="R120" s="278">
        <v>1.4</v>
      </c>
    </row>
    <row r="121" spans="12:18" ht="18" customHeight="1">
      <c r="L121" s="256" t="s">
        <v>2895</v>
      </c>
      <c r="M121" s="298" t="s">
        <v>2896</v>
      </c>
      <c r="N121" s="299" t="s">
        <v>2897</v>
      </c>
      <c r="O121" s="257" t="s">
        <v>69</v>
      </c>
      <c r="P121" s="300">
        <v>1800000</v>
      </c>
      <c r="Q121" s="300">
        <v>631500</v>
      </c>
      <c r="R121" s="301">
        <v>1.7</v>
      </c>
    </row>
    <row r="122" spans="12:18" ht="18" customHeight="1">
      <c r="L122" s="261" t="s">
        <v>2898</v>
      </c>
      <c r="M122" s="290" t="s">
        <v>280</v>
      </c>
      <c r="N122" s="302" t="s">
        <v>2899</v>
      </c>
      <c r="O122" s="286" t="s">
        <v>69</v>
      </c>
      <c r="P122" s="303">
        <v>1350000</v>
      </c>
      <c r="Q122" s="303">
        <v>659400</v>
      </c>
      <c r="R122" s="304">
        <v>2.7</v>
      </c>
    </row>
    <row r="123" spans="12:18" ht="18" customHeight="1">
      <c r="L123" s="273" t="s">
        <v>2900</v>
      </c>
      <c r="M123" s="274" t="s">
        <v>280</v>
      </c>
      <c r="N123" s="293" t="s">
        <v>2901</v>
      </c>
      <c r="O123" s="276" t="s">
        <v>69</v>
      </c>
      <c r="P123" s="296">
        <v>1200000</v>
      </c>
      <c r="Q123" s="296">
        <v>584700</v>
      </c>
      <c r="R123" s="305">
        <v>2.7</v>
      </c>
    </row>
    <row r="124" spans="12:18" ht="18" customHeight="1">
      <c r="L124" s="261" t="s">
        <v>2902</v>
      </c>
      <c r="M124" s="279" t="s">
        <v>409</v>
      </c>
      <c r="N124" s="291" t="s">
        <v>410</v>
      </c>
      <c r="O124" s="281" t="s">
        <v>69</v>
      </c>
      <c r="P124" s="294">
        <v>130000</v>
      </c>
      <c r="Q124" s="294">
        <v>51800</v>
      </c>
      <c r="R124" s="283">
        <v>0.2</v>
      </c>
    </row>
    <row r="125" spans="12:18" ht="18" customHeight="1">
      <c r="L125" s="267" t="s">
        <v>2903</v>
      </c>
      <c r="M125" s="268" t="s">
        <v>486</v>
      </c>
      <c r="N125" s="292" t="s">
        <v>2904</v>
      </c>
      <c r="O125" s="270" t="s">
        <v>69</v>
      </c>
      <c r="P125" s="295">
        <v>33000</v>
      </c>
      <c r="Q125" s="295">
        <v>12690</v>
      </c>
      <c r="R125" s="272">
        <v>0.2</v>
      </c>
    </row>
    <row r="126" spans="12:18" ht="18" customHeight="1">
      <c r="L126" s="267" t="s">
        <v>2905</v>
      </c>
      <c r="M126" s="268" t="s">
        <v>486</v>
      </c>
      <c r="N126" s="292" t="s">
        <v>2906</v>
      </c>
      <c r="O126" s="270" t="s">
        <v>69</v>
      </c>
      <c r="P126" s="295">
        <v>35000</v>
      </c>
      <c r="Q126" s="295">
        <v>12790</v>
      </c>
      <c r="R126" s="272">
        <v>0.2</v>
      </c>
    </row>
    <row r="127" spans="12:18" ht="18" customHeight="1">
      <c r="L127" s="273" t="s">
        <v>2907</v>
      </c>
      <c r="M127" s="274" t="s">
        <v>486</v>
      </c>
      <c r="N127" s="293" t="s">
        <v>563</v>
      </c>
      <c r="O127" s="276" t="s">
        <v>69</v>
      </c>
      <c r="P127" s="296">
        <v>39000</v>
      </c>
      <c r="Q127" s="296">
        <v>15880</v>
      </c>
      <c r="R127" s="278">
        <v>0.2</v>
      </c>
    </row>
    <row r="128" spans="12:18" ht="18" customHeight="1">
      <c r="L128" s="261"/>
      <c r="M128" s="279" t="s">
        <v>404</v>
      </c>
      <c r="N128" s="291" t="s">
        <v>2908</v>
      </c>
      <c r="O128" s="281" t="s">
        <v>69</v>
      </c>
      <c r="P128" s="294">
        <v>1690000</v>
      </c>
      <c r="Q128" s="294">
        <v>474600</v>
      </c>
      <c r="R128" s="306">
        <v>2.2999999999999998</v>
      </c>
    </row>
    <row r="129" spans="12:18" ht="18" customHeight="1">
      <c r="L129" s="267"/>
      <c r="M129" s="268" t="s">
        <v>404</v>
      </c>
      <c r="N129" s="292" t="s">
        <v>2909</v>
      </c>
      <c r="O129" s="270" t="s">
        <v>69</v>
      </c>
      <c r="P129" s="295">
        <v>1790000</v>
      </c>
      <c r="Q129" s="295">
        <v>492900</v>
      </c>
      <c r="R129" s="307">
        <v>2.2999999999999998</v>
      </c>
    </row>
    <row r="130" spans="12:18" ht="18" customHeight="1">
      <c r="L130" s="267"/>
      <c r="M130" s="268" t="s">
        <v>404</v>
      </c>
      <c r="N130" s="292" t="s">
        <v>2910</v>
      </c>
      <c r="O130" s="270" t="s">
        <v>69</v>
      </c>
      <c r="P130" s="295">
        <v>1690000</v>
      </c>
      <c r="Q130" s="295">
        <v>477800</v>
      </c>
      <c r="R130" s="307">
        <v>2.2999999999999998</v>
      </c>
    </row>
    <row r="131" spans="12:18" ht="18" customHeight="1">
      <c r="L131" s="267"/>
      <c r="M131" s="268" t="s">
        <v>404</v>
      </c>
      <c r="N131" s="292" t="s">
        <v>2911</v>
      </c>
      <c r="O131" s="270" t="s">
        <v>69</v>
      </c>
      <c r="P131" s="295">
        <v>1790000</v>
      </c>
      <c r="Q131" s="295">
        <v>492900</v>
      </c>
      <c r="R131" s="307">
        <v>2.2999999999999998</v>
      </c>
    </row>
    <row r="132" spans="12:18" ht="18" customHeight="1">
      <c r="L132" s="267"/>
      <c r="M132" s="268" t="s">
        <v>404</v>
      </c>
      <c r="N132" s="292" t="s">
        <v>2912</v>
      </c>
      <c r="O132" s="270" t="s">
        <v>69</v>
      </c>
      <c r="P132" s="295">
        <v>1690000</v>
      </c>
      <c r="Q132" s="295">
        <v>474900</v>
      </c>
      <c r="R132" s="307">
        <v>2.2999999999999998</v>
      </c>
    </row>
    <row r="133" spans="12:18" ht="18" customHeight="1">
      <c r="L133" s="267"/>
      <c r="M133" s="268" t="s">
        <v>404</v>
      </c>
      <c r="N133" s="292" t="s">
        <v>2913</v>
      </c>
      <c r="O133" s="270" t="s">
        <v>69</v>
      </c>
      <c r="P133" s="295">
        <v>1790000</v>
      </c>
      <c r="Q133" s="295">
        <v>493100</v>
      </c>
      <c r="R133" s="307">
        <v>2.2999999999999998</v>
      </c>
    </row>
    <row r="134" spans="12:18" ht="18" customHeight="1">
      <c r="L134" s="267"/>
      <c r="M134" s="268" t="s">
        <v>404</v>
      </c>
      <c r="N134" s="292" t="s">
        <v>2914</v>
      </c>
      <c r="O134" s="270" t="s">
        <v>69</v>
      </c>
      <c r="P134" s="295">
        <v>2540000</v>
      </c>
      <c r="Q134" s="295">
        <v>630500</v>
      </c>
      <c r="R134" s="272">
        <v>3</v>
      </c>
    </row>
    <row r="135" spans="12:18" ht="18" customHeight="1">
      <c r="L135" s="267"/>
      <c r="M135" s="268" t="s">
        <v>404</v>
      </c>
      <c r="N135" s="292" t="s">
        <v>2915</v>
      </c>
      <c r="O135" s="270" t="s">
        <v>69</v>
      </c>
      <c r="P135" s="295">
        <v>2700000</v>
      </c>
      <c r="Q135" s="295">
        <v>671100</v>
      </c>
      <c r="R135" s="272">
        <v>3</v>
      </c>
    </row>
    <row r="136" spans="12:18" ht="18" customHeight="1">
      <c r="L136" s="267"/>
      <c r="M136" s="268" t="s">
        <v>404</v>
      </c>
      <c r="N136" s="292" t="s">
        <v>2916</v>
      </c>
      <c r="O136" s="270" t="s">
        <v>69</v>
      </c>
      <c r="P136" s="295">
        <v>2540000</v>
      </c>
      <c r="Q136" s="295">
        <v>633500</v>
      </c>
      <c r="R136" s="272">
        <v>3</v>
      </c>
    </row>
    <row r="137" spans="12:18" ht="18" customHeight="1">
      <c r="L137" s="267"/>
      <c r="M137" s="268" t="s">
        <v>404</v>
      </c>
      <c r="N137" s="292" t="s">
        <v>2917</v>
      </c>
      <c r="O137" s="270" t="s">
        <v>69</v>
      </c>
      <c r="P137" s="295">
        <v>2700000</v>
      </c>
      <c r="Q137" s="295">
        <v>674000</v>
      </c>
      <c r="R137" s="272">
        <v>3</v>
      </c>
    </row>
    <row r="138" spans="12:18" ht="18" customHeight="1">
      <c r="L138" s="267"/>
      <c r="M138" s="268" t="s">
        <v>404</v>
      </c>
      <c r="N138" s="292" t="s">
        <v>2918</v>
      </c>
      <c r="O138" s="270" t="s">
        <v>69</v>
      </c>
      <c r="P138" s="295">
        <v>2540000</v>
      </c>
      <c r="Q138" s="295">
        <v>633600</v>
      </c>
      <c r="R138" s="272">
        <v>3</v>
      </c>
    </row>
    <row r="139" spans="12:18" ht="18" customHeight="1">
      <c r="L139" s="267"/>
      <c r="M139" s="268" t="s">
        <v>404</v>
      </c>
      <c r="N139" s="292" t="s">
        <v>2919</v>
      </c>
      <c r="O139" s="270" t="s">
        <v>69</v>
      </c>
      <c r="P139" s="295">
        <v>2700000</v>
      </c>
      <c r="Q139" s="295">
        <v>674200</v>
      </c>
      <c r="R139" s="272">
        <v>3</v>
      </c>
    </row>
    <row r="140" spans="12:18" ht="18" customHeight="1">
      <c r="L140" s="267"/>
      <c r="M140" s="268" t="s">
        <v>404</v>
      </c>
      <c r="N140" s="292" t="s">
        <v>2920</v>
      </c>
      <c r="O140" s="270" t="s">
        <v>69</v>
      </c>
      <c r="P140" s="295">
        <v>2290000</v>
      </c>
      <c r="Q140" s="295">
        <v>617900</v>
      </c>
      <c r="R140" s="272">
        <v>3</v>
      </c>
    </row>
    <row r="141" spans="12:18" ht="18" customHeight="1">
      <c r="L141" s="267"/>
      <c r="M141" s="268" t="s">
        <v>404</v>
      </c>
      <c r="N141" s="292" t="s">
        <v>2921</v>
      </c>
      <c r="O141" s="270" t="s">
        <v>69</v>
      </c>
      <c r="P141" s="295">
        <v>2290000</v>
      </c>
      <c r="Q141" s="295">
        <v>628800</v>
      </c>
      <c r="R141" s="272">
        <v>3</v>
      </c>
    </row>
    <row r="142" spans="12:18" ht="18" customHeight="1">
      <c r="L142" s="267"/>
      <c r="M142" s="268" t="s">
        <v>404</v>
      </c>
      <c r="N142" s="292" t="s">
        <v>2922</v>
      </c>
      <c r="O142" s="270" t="s">
        <v>69</v>
      </c>
      <c r="P142" s="295">
        <v>2290000</v>
      </c>
      <c r="Q142" s="295">
        <v>621000</v>
      </c>
      <c r="R142" s="272">
        <v>3</v>
      </c>
    </row>
    <row r="143" spans="12:18" ht="18" customHeight="1">
      <c r="L143" s="267"/>
      <c r="M143" s="268" t="s">
        <v>404</v>
      </c>
      <c r="N143" s="292" t="s">
        <v>2923</v>
      </c>
      <c r="O143" s="270" t="s">
        <v>69</v>
      </c>
      <c r="P143" s="295">
        <v>4200000</v>
      </c>
      <c r="Q143" s="295">
        <v>1537400</v>
      </c>
      <c r="R143" s="272">
        <v>6</v>
      </c>
    </row>
    <row r="144" spans="12:18" ht="18" customHeight="1">
      <c r="L144" s="267"/>
      <c r="M144" s="268" t="s">
        <v>2924</v>
      </c>
      <c r="N144" s="292" t="s">
        <v>2925</v>
      </c>
      <c r="O144" s="270" t="s">
        <v>69</v>
      </c>
      <c r="P144" s="295">
        <v>5000000</v>
      </c>
      <c r="Q144" s="295">
        <v>2400000</v>
      </c>
      <c r="R144" s="272">
        <v>6</v>
      </c>
    </row>
    <row r="145" spans="12:18" ht="18" customHeight="1">
      <c r="L145" s="267"/>
      <c r="M145" s="268" t="s">
        <v>404</v>
      </c>
      <c r="N145" s="292" t="s">
        <v>1075</v>
      </c>
      <c r="O145" s="270" t="s">
        <v>69</v>
      </c>
      <c r="P145" s="295">
        <v>5000000</v>
      </c>
      <c r="Q145" s="295">
        <v>1568000</v>
      </c>
      <c r="R145" s="272">
        <v>7</v>
      </c>
    </row>
    <row r="146" spans="12:18" ht="18" customHeight="1">
      <c r="L146" s="273"/>
      <c r="M146" s="274" t="s">
        <v>2926</v>
      </c>
      <c r="N146" s="293" t="s">
        <v>1087</v>
      </c>
      <c r="O146" s="276" t="s">
        <v>69</v>
      </c>
      <c r="P146" s="296">
        <v>7200000</v>
      </c>
      <c r="Q146" s="296">
        <v>2500000</v>
      </c>
      <c r="R146" s="278">
        <v>7</v>
      </c>
    </row>
    <row r="147" spans="12:18" ht="18" customHeight="1">
      <c r="L147" s="261" t="s">
        <v>2927</v>
      </c>
      <c r="M147" s="279" t="s">
        <v>260</v>
      </c>
      <c r="N147" s="291" t="s">
        <v>1435</v>
      </c>
      <c r="O147" s="281" t="s">
        <v>69</v>
      </c>
      <c r="P147" s="294">
        <v>722000</v>
      </c>
      <c r="Q147" s="294">
        <v>240980</v>
      </c>
      <c r="R147" s="283">
        <v>1.3</v>
      </c>
    </row>
    <row r="148" spans="12:18" ht="18" customHeight="1">
      <c r="L148" s="267" t="s">
        <v>2928</v>
      </c>
      <c r="M148" s="268" t="s">
        <v>260</v>
      </c>
      <c r="N148" s="292" t="s">
        <v>1438</v>
      </c>
      <c r="O148" s="270" t="s">
        <v>69</v>
      </c>
      <c r="P148" s="295">
        <v>750000</v>
      </c>
      <c r="Q148" s="295">
        <v>240730</v>
      </c>
      <c r="R148" s="272">
        <v>1.4</v>
      </c>
    </row>
    <row r="149" spans="12:18" ht="18" customHeight="1">
      <c r="L149" s="267" t="s">
        <v>2929</v>
      </c>
      <c r="M149" s="268" t="s">
        <v>260</v>
      </c>
      <c r="N149" s="292" t="s">
        <v>1440</v>
      </c>
      <c r="O149" s="270" t="s">
        <v>69</v>
      </c>
      <c r="P149" s="295">
        <v>805000</v>
      </c>
      <c r="Q149" s="295">
        <v>241280</v>
      </c>
      <c r="R149" s="272">
        <v>1.55</v>
      </c>
    </row>
    <row r="150" spans="12:18" ht="18" customHeight="1">
      <c r="L150" s="267" t="s">
        <v>2930</v>
      </c>
      <c r="M150" s="268" t="s">
        <v>260</v>
      </c>
      <c r="N150" s="292" t="s">
        <v>1445</v>
      </c>
      <c r="O150" s="270" t="s">
        <v>69</v>
      </c>
      <c r="P150" s="295">
        <v>855000</v>
      </c>
      <c r="Q150" s="295">
        <v>257580</v>
      </c>
      <c r="R150" s="272">
        <v>1.65</v>
      </c>
    </row>
    <row r="151" spans="12:18" ht="18" customHeight="1">
      <c r="L151" s="267" t="s">
        <v>2931</v>
      </c>
      <c r="M151" s="268" t="s">
        <v>260</v>
      </c>
      <c r="N151" s="292" t="s">
        <v>1450</v>
      </c>
      <c r="O151" s="270" t="s">
        <v>69</v>
      </c>
      <c r="P151" s="295">
        <v>897000</v>
      </c>
      <c r="Q151" s="295">
        <v>257230</v>
      </c>
      <c r="R151" s="272">
        <v>1.75</v>
      </c>
    </row>
    <row r="152" spans="12:18" ht="18" customHeight="1">
      <c r="L152" s="267" t="s">
        <v>2932</v>
      </c>
      <c r="M152" s="268" t="s">
        <v>260</v>
      </c>
      <c r="N152" s="292" t="s">
        <v>484</v>
      </c>
      <c r="O152" s="270" t="s">
        <v>69</v>
      </c>
      <c r="P152" s="295">
        <v>935000</v>
      </c>
      <c r="Q152" s="295">
        <v>267280</v>
      </c>
      <c r="R152" s="272">
        <v>1.9</v>
      </c>
    </row>
    <row r="153" spans="12:18" ht="18" customHeight="1">
      <c r="L153" s="267" t="s">
        <v>2933</v>
      </c>
      <c r="M153" s="268" t="s">
        <v>260</v>
      </c>
      <c r="N153" s="292" t="s">
        <v>522</v>
      </c>
      <c r="O153" s="270" t="s">
        <v>69</v>
      </c>
      <c r="P153" s="295">
        <v>1072000</v>
      </c>
      <c r="Q153" s="295">
        <v>325080</v>
      </c>
      <c r="R153" s="272">
        <v>2.0499999999999998</v>
      </c>
    </row>
    <row r="154" spans="12:18" ht="18" customHeight="1">
      <c r="L154" s="267" t="s">
        <v>2934</v>
      </c>
      <c r="M154" s="268" t="s">
        <v>260</v>
      </c>
      <c r="N154" s="292" t="s">
        <v>1462</v>
      </c>
      <c r="O154" s="270" t="s">
        <v>69</v>
      </c>
      <c r="P154" s="295">
        <v>1128000</v>
      </c>
      <c r="Q154" s="295">
        <v>325080</v>
      </c>
      <c r="R154" s="272">
        <v>2.15</v>
      </c>
    </row>
    <row r="155" spans="12:18" ht="18" customHeight="1">
      <c r="L155" s="267" t="s">
        <v>2935</v>
      </c>
      <c r="M155" s="268" t="s">
        <v>260</v>
      </c>
      <c r="N155" s="292" t="s">
        <v>561</v>
      </c>
      <c r="O155" s="270" t="s">
        <v>69</v>
      </c>
      <c r="P155" s="295">
        <v>1250000</v>
      </c>
      <c r="Q155" s="295">
        <v>325080</v>
      </c>
      <c r="R155" s="272">
        <v>2.2999999999999998</v>
      </c>
    </row>
    <row r="156" spans="12:18" ht="18" customHeight="1">
      <c r="L156" s="267" t="s">
        <v>2936</v>
      </c>
      <c r="M156" s="268" t="s">
        <v>260</v>
      </c>
      <c r="N156" s="292" t="s">
        <v>595</v>
      </c>
      <c r="O156" s="270" t="s">
        <v>69</v>
      </c>
      <c r="P156" s="295">
        <v>1373000</v>
      </c>
      <c r="Q156" s="295">
        <v>345120</v>
      </c>
      <c r="R156" s="272">
        <v>2.6</v>
      </c>
    </row>
    <row r="157" spans="12:18" ht="18" customHeight="1">
      <c r="L157" s="273" t="s">
        <v>2937</v>
      </c>
      <c r="M157" s="274" t="s">
        <v>260</v>
      </c>
      <c r="N157" s="293" t="s">
        <v>628</v>
      </c>
      <c r="O157" s="276" t="s">
        <v>69</v>
      </c>
      <c r="P157" s="296">
        <v>1468000</v>
      </c>
      <c r="Q157" s="296">
        <v>345080</v>
      </c>
      <c r="R157" s="278">
        <v>2.75</v>
      </c>
    </row>
    <row r="158" spans="12:18" ht="18" customHeight="1">
      <c r="L158" s="261" t="s">
        <v>2938</v>
      </c>
      <c r="M158" s="279" t="s">
        <v>260</v>
      </c>
      <c r="N158" s="291" t="s">
        <v>2939</v>
      </c>
      <c r="O158" s="281" t="s">
        <v>69</v>
      </c>
      <c r="P158" s="294">
        <v>1373000</v>
      </c>
      <c r="Q158" s="294">
        <v>414570</v>
      </c>
      <c r="R158" s="283">
        <v>1.3</v>
      </c>
    </row>
    <row r="159" spans="12:18" ht="18" customHeight="1">
      <c r="L159" s="267" t="s">
        <v>2940</v>
      </c>
      <c r="M159" s="268" t="s">
        <v>260</v>
      </c>
      <c r="N159" s="292" t="s">
        <v>2941</v>
      </c>
      <c r="O159" s="270" t="s">
        <v>69</v>
      </c>
      <c r="P159" s="295">
        <v>1427000</v>
      </c>
      <c r="Q159" s="295">
        <v>420200</v>
      </c>
      <c r="R159" s="272">
        <v>1.4</v>
      </c>
    </row>
    <row r="160" spans="12:18" ht="18" customHeight="1">
      <c r="L160" s="267" t="s">
        <v>2942</v>
      </c>
      <c r="M160" s="268" t="s">
        <v>260</v>
      </c>
      <c r="N160" s="292" t="s">
        <v>2943</v>
      </c>
      <c r="O160" s="270" t="s">
        <v>69</v>
      </c>
      <c r="P160" s="295">
        <v>1493000</v>
      </c>
      <c r="Q160" s="295">
        <v>414460</v>
      </c>
      <c r="R160" s="272">
        <v>1.55</v>
      </c>
    </row>
    <row r="161" spans="12:18" ht="18" customHeight="1">
      <c r="L161" s="267" t="s">
        <v>2944</v>
      </c>
      <c r="M161" s="268" t="s">
        <v>260</v>
      </c>
      <c r="N161" s="292" t="s">
        <v>2945</v>
      </c>
      <c r="O161" s="270" t="s">
        <v>69</v>
      </c>
      <c r="P161" s="295">
        <v>1581000</v>
      </c>
      <c r="Q161" s="295">
        <v>447600</v>
      </c>
      <c r="R161" s="272">
        <v>1.65</v>
      </c>
    </row>
    <row r="162" spans="12:18" ht="18" customHeight="1">
      <c r="L162" s="267" t="s">
        <v>2946</v>
      </c>
      <c r="M162" s="268" t="s">
        <v>260</v>
      </c>
      <c r="N162" s="292" t="s">
        <v>2947</v>
      </c>
      <c r="O162" s="270" t="s">
        <v>69</v>
      </c>
      <c r="P162" s="295">
        <v>1636000</v>
      </c>
      <c r="Q162" s="295">
        <v>441760</v>
      </c>
      <c r="R162" s="272">
        <v>1.75</v>
      </c>
    </row>
    <row r="163" spans="12:18" ht="18" customHeight="1">
      <c r="L163" s="267" t="s">
        <v>2948</v>
      </c>
      <c r="M163" s="268" t="s">
        <v>260</v>
      </c>
      <c r="N163" s="292" t="s">
        <v>2949</v>
      </c>
      <c r="O163" s="270" t="s">
        <v>69</v>
      </c>
      <c r="P163" s="295">
        <v>1757000</v>
      </c>
      <c r="Q163" s="295">
        <v>447600</v>
      </c>
      <c r="R163" s="272">
        <v>1.9</v>
      </c>
    </row>
    <row r="164" spans="12:18" ht="18" customHeight="1">
      <c r="L164" s="267" t="s">
        <v>2950</v>
      </c>
      <c r="M164" s="268" t="s">
        <v>260</v>
      </c>
      <c r="N164" s="292" t="s">
        <v>2951</v>
      </c>
      <c r="O164" s="270" t="s">
        <v>69</v>
      </c>
      <c r="P164" s="295">
        <v>2024000</v>
      </c>
      <c r="Q164" s="295">
        <v>561050</v>
      </c>
      <c r="R164" s="272">
        <v>2.0499999999999998</v>
      </c>
    </row>
    <row r="165" spans="12:18" ht="18" customHeight="1">
      <c r="L165" s="267" t="s">
        <v>2952</v>
      </c>
      <c r="M165" s="268" t="s">
        <v>260</v>
      </c>
      <c r="N165" s="292" t="s">
        <v>2953</v>
      </c>
      <c r="O165" s="270" t="s">
        <v>69</v>
      </c>
      <c r="P165" s="295">
        <v>2200000</v>
      </c>
      <c r="Q165" s="295">
        <v>568200</v>
      </c>
      <c r="R165" s="272">
        <v>2.2999999999999998</v>
      </c>
    </row>
    <row r="166" spans="12:18" ht="18" customHeight="1">
      <c r="L166" s="267" t="s">
        <v>2954</v>
      </c>
      <c r="M166" s="268" t="s">
        <v>260</v>
      </c>
      <c r="N166" s="292" t="s">
        <v>2955</v>
      </c>
      <c r="O166" s="270" t="s">
        <v>69</v>
      </c>
      <c r="P166" s="295">
        <v>2420000</v>
      </c>
      <c r="Q166" s="295">
        <v>583250</v>
      </c>
      <c r="R166" s="272">
        <v>2.6</v>
      </c>
    </row>
    <row r="167" spans="12:18" ht="18" customHeight="1">
      <c r="L167" s="273" t="s">
        <v>2956</v>
      </c>
      <c r="M167" s="274" t="s">
        <v>260</v>
      </c>
      <c r="N167" s="293" t="s">
        <v>2957</v>
      </c>
      <c r="O167" s="276" t="s">
        <v>69</v>
      </c>
      <c r="P167" s="296">
        <v>2530000</v>
      </c>
      <c r="Q167" s="296">
        <v>589200</v>
      </c>
      <c r="R167" s="278">
        <v>2.75</v>
      </c>
    </row>
    <row r="168" spans="12:18" ht="18" customHeight="1">
      <c r="L168" s="261" t="s">
        <v>2958</v>
      </c>
      <c r="M168" s="279" t="s">
        <v>310</v>
      </c>
      <c r="N168" s="291" t="s">
        <v>2959</v>
      </c>
      <c r="O168" s="281" t="s">
        <v>69</v>
      </c>
      <c r="P168" s="294">
        <v>476000</v>
      </c>
      <c r="Q168" s="294">
        <v>145100</v>
      </c>
      <c r="R168" s="283">
        <v>0.7</v>
      </c>
    </row>
    <row r="169" spans="12:18" ht="18" customHeight="1">
      <c r="L169" s="267" t="s">
        <v>2960</v>
      </c>
      <c r="M169" s="268" t="s">
        <v>2961</v>
      </c>
      <c r="N169" s="292" t="s">
        <v>2962</v>
      </c>
      <c r="O169" s="270" t="s">
        <v>69</v>
      </c>
      <c r="P169" s="295">
        <v>541000</v>
      </c>
      <c r="Q169" s="295">
        <v>164100</v>
      </c>
      <c r="R169" s="272">
        <v>0.9</v>
      </c>
    </row>
    <row r="170" spans="12:18" ht="18" customHeight="1">
      <c r="L170" s="267" t="s">
        <v>2963</v>
      </c>
      <c r="M170" s="268" t="s">
        <v>2961</v>
      </c>
      <c r="N170" s="292" t="s">
        <v>2964</v>
      </c>
      <c r="O170" s="270" t="s">
        <v>69</v>
      </c>
      <c r="P170" s="295">
        <v>608000</v>
      </c>
      <c r="Q170" s="295">
        <v>185600</v>
      </c>
      <c r="R170" s="272">
        <v>0.7</v>
      </c>
    </row>
    <row r="171" spans="12:18" ht="18" customHeight="1">
      <c r="L171" s="267" t="s">
        <v>2965</v>
      </c>
      <c r="M171" s="268" t="s">
        <v>2961</v>
      </c>
      <c r="N171" s="292" t="s">
        <v>2966</v>
      </c>
      <c r="O171" s="270" t="s">
        <v>69</v>
      </c>
      <c r="P171" s="295">
        <v>608000</v>
      </c>
      <c r="Q171" s="295">
        <v>184900</v>
      </c>
      <c r="R171" s="272">
        <v>0.9</v>
      </c>
    </row>
    <row r="172" spans="12:18" ht="18" customHeight="1">
      <c r="L172" s="267" t="s">
        <v>2967</v>
      </c>
      <c r="M172" s="268" t="s">
        <v>2961</v>
      </c>
      <c r="N172" s="292" t="s">
        <v>581</v>
      </c>
      <c r="O172" s="270" t="s">
        <v>69</v>
      </c>
      <c r="P172" s="295">
        <v>1316000</v>
      </c>
      <c r="Q172" s="295">
        <v>438600</v>
      </c>
      <c r="R172" s="272">
        <v>2</v>
      </c>
    </row>
    <row r="173" spans="12:18" ht="18" customHeight="1">
      <c r="L173" s="267" t="s">
        <v>2968</v>
      </c>
      <c r="M173" s="268" t="s">
        <v>2961</v>
      </c>
      <c r="N173" s="292" t="s">
        <v>616</v>
      </c>
      <c r="O173" s="270" t="s">
        <v>69</v>
      </c>
      <c r="P173" s="295">
        <v>1495000</v>
      </c>
      <c r="Q173" s="295">
        <v>446000</v>
      </c>
      <c r="R173" s="272">
        <v>2</v>
      </c>
    </row>
    <row r="174" spans="12:18" ht="18" customHeight="1">
      <c r="L174" s="267" t="s">
        <v>2969</v>
      </c>
      <c r="M174" s="268" t="s">
        <v>2961</v>
      </c>
      <c r="N174" s="292" t="s">
        <v>511</v>
      </c>
      <c r="O174" s="270" t="s">
        <v>69</v>
      </c>
      <c r="P174" s="295">
        <v>1016000</v>
      </c>
      <c r="Q174" s="295">
        <v>331800</v>
      </c>
      <c r="R174" s="272">
        <v>2</v>
      </c>
    </row>
    <row r="175" spans="12:18" ht="18" customHeight="1">
      <c r="L175" s="273" t="s">
        <v>2970</v>
      </c>
      <c r="M175" s="274" t="s">
        <v>2961</v>
      </c>
      <c r="N175" s="293" t="s">
        <v>548</v>
      </c>
      <c r="O175" s="276" t="s">
        <v>69</v>
      </c>
      <c r="P175" s="296">
        <v>1016000</v>
      </c>
      <c r="Q175" s="296">
        <v>339900</v>
      </c>
      <c r="R175" s="278">
        <v>1.5</v>
      </c>
    </row>
    <row r="176" spans="12:18" ht="18" customHeight="1">
      <c r="L176" s="261" t="s">
        <v>2971</v>
      </c>
      <c r="M176" s="279" t="s">
        <v>292</v>
      </c>
      <c r="N176" s="291" t="s">
        <v>2972</v>
      </c>
      <c r="O176" s="281" t="s">
        <v>2593</v>
      </c>
      <c r="P176" s="294">
        <v>21600</v>
      </c>
      <c r="Q176" s="294">
        <v>3978</v>
      </c>
      <c r="R176" s="283">
        <v>0.7</v>
      </c>
    </row>
    <row r="177" spans="12:18" ht="18" customHeight="1">
      <c r="L177" s="267" t="s">
        <v>2973</v>
      </c>
      <c r="M177" s="268" t="s">
        <v>292</v>
      </c>
      <c r="N177" s="292" t="s">
        <v>2974</v>
      </c>
      <c r="O177" s="270" t="s">
        <v>2593</v>
      </c>
      <c r="P177" s="295">
        <v>33000</v>
      </c>
      <c r="Q177" s="295">
        <v>9644</v>
      </c>
      <c r="R177" s="272">
        <v>0.7</v>
      </c>
    </row>
    <row r="178" spans="12:18" ht="18" customHeight="1">
      <c r="L178" s="267" t="s">
        <v>2975</v>
      </c>
      <c r="M178" s="268" t="s">
        <v>292</v>
      </c>
      <c r="N178" s="292" t="s">
        <v>2976</v>
      </c>
      <c r="O178" s="270" t="s">
        <v>2593</v>
      </c>
      <c r="P178" s="295">
        <v>47000</v>
      </c>
      <c r="Q178" s="295">
        <v>16009</v>
      </c>
      <c r="R178" s="272">
        <v>0.7</v>
      </c>
    </row>
    <row r="179" spans="12:18" ht="18" customHeight="1">
      <c r="L179" s="267" t="s">
        <v>2977</v>
      </c>
      <c r="M179" s="268" t="s">
        <v>292</v>
      </c>
      <c r="N179" s="292" t="s">
        <v>2978</v>
      </c>
      <c r="O179" s="270" t="s">
        <v>2593</v>
      </c>
      <c r="P179" s="295">
        <v>26400</v>
      </c>
      <c r="Q179" s="295">
        <v>5782</v>
      </c>
      <c r="R179" s="272">
        <v>0.7</v>
      </c>
    </row>
    <row r="180" spans="12:18" ht="18" customHeight="1">
      <c r="L180" s="267" t="s">
        <v>2979</v>
      </c>
      <c r="M180" s="268" t="s">
        <v>292</v>
      </c>
      <c r="N180" s="308" t="s">
        <v>2980</v>
      </c>
      <c r="O180" s="270" t="s">
        <v>2593</v>
      </c>
      <c r="P180" s="295">
        <v>42400</v>
      </c>
      <c r="Q180" s="295">
        <v>12680</v>
      </c>
      <c r="R180" s="272">
        <v>0.5</v>
      </c>
    </row>
    <row r="181" spans="12:18" ht="18" customHeight="1">
      <c r="L181" s="267" t="s">
        <v>2981</v>
      </c>
      <c r="M181" s="268" t="s">
        <v>292</v>
      </c>
      <c r="N181" s="292" t="s">
        <v>2982</v>
      </c>
      <c r="O181" s="270" t="s">
        <v>2593</v>
      </c>
      <c r="P181" s="295">
        <v>39000</v>
      </c>
      <c r="Q181" s="295">
        <v>11197</v>
      </c>
      <c r="R181" s="272">
        <v>0.5</v>
      </c>
    </row>
    <row r="182" spans="12:18" ht="18" customHeight="1">
      <c r="L182" s="267" t="s">
        <v>2983</v>
      </c>
      <c r="M182" s="268" t="s">
        <v>292</v>
      </c>
      <c r="N182" s="292" t="s">
        <v>2984</v>
      </c>
      <c r="O182" s="270" t="s">
        <v>2593</v>
      </c>
      <c r="P182" s="295">
        <v>46800</v>
      </c>
      <c r="Q182" s="295">
        <v>13946</v>
      </c>
      <c r="R182" s="272">
        <v>0.5</v>
      </c>
    </row>
    <row r="183" spans="12:18" ht="18" customHeight="1">
      <c r="L183" s="267" t="s">
        <v>2985</v>
      </c>
      <c r="M183" s="268" t="s">
        <v>292</v>
      </c>
      <c r="N183" s="292" t="s">
        <v>2986</v>
      </c>
      <c r="O183" s="270" t="s">
        <v>2593</v>
      </c>
      <c r="P183" s="295">
        <v>47000</v>
      </c>
      <c r="Q183" s="295">
        <v>15705</v>
      </c>
      <c r="R183" s="272">
        <v>0.7</v>
      </c>
    </row>
    <row r="184" spans="12:18" ht="18" customHeight="1">
      <c r="L184" s="267" t="s">
        <v>2987</v>
      </c>
      <c r="M184" s="268" t="s">
        <v>292</v>
      </c>
      <c r="N184" s="292" t="s">
        <v>2988</v>
      </c>
      <c r="O184" s="270" t="s">
        <v>2593</v>
      </c>
      <c r="P184" s="295">
        <v>70000</v>
      </c>
      <c r="Q184" s="295">
        <v>25118</v>
      </c>
      <c r="R184" s="272">
        <v>0.7</v>
      </c>
    </row>
    <row r="185" spans="12:18" ht="18" customHeight="1">
      <c r="L185" s="267"/>
      <c r="M185" s="268" t="s">
        <v>292</v>
      </c>
      <c r="N185" s="292" t="s">
        <v>2989</v>
      </c>
      <c r="O185" s="270" t="s">
        <v>2593</v>
      </c>
      <c r="P185" s="295">
        <v>184400</v>
      </c>
      <c r="Q185" s="295">
        <v>83000</v>
      </c>
      <c r="R185" s="272">
        <v>1.5</v>
      </c>
    </row>
    <row r="186" spans="12:18" ht="18" customHeight="1">
      <c r="L186" s="267"/>
      <c r="M186" s="268" t="s">
        <v>292</v>
      </c>
      <c r="N186" s="292" t="s">
        <v>2990</v>
      </c>
      <c r="O186" s="270" t="s">
        <v>2593</v>
      </c>
      <c r="P186" s="295">
        <v>210300</v>
      </c>
      <c r="Q186" s="295">
        <v>95000</v>
      </c>
      <c r="R186" s="272">
        <v>1.5</v>
      </c>
    </row>
    <row r="187" spans="12:18" ht="18" customHeight="1">
      <c r="L187" s="273"/>
      <c r="M187" s="274" t="s">
        <v>292</v>
      </c>
      <c r="N187" s="293" t="s">
        <v>2991</v>
      </c>
      <c r="O187" s="276" t="s">
        <v>2593</v>
      </c>
      <c r="P187" s="296">
        <v>228800</v>
      </c>
      <c r="Q187" s="296">
        <v>103000</v>
      </c>
      <c r="R187" s="278">
        <v>1.5</v>
      </c>
    </row>
    <row r="188" spans="12:18" ht="18" customHeight="1">
      <c r="L188" s="261" t="s">
        <v>2992</v>
      </c>
      <c r="M188" s="279" t="s">
        <v>748</v>
      </c>
      <c r="N188" s="291" t="s">
        <v>2993</v>
      </c>
      <c r="O188" s="281" t="s">
        <v>2593</v>
      </c>
      <c r="P188" s="294">
        <v>64000</v>
      </c>
      <c r="Q188" s="294">
        <v>29300</v>
      </c>
      <c r="R188" s="283">
        <v>0.5</v>
      </c>
    </row>
    <row r="189" spans="12:18" ht="18" customHeight="1">
      <c r="L189" s="267" t="s">
        <v>2994</v>
      </c>
      <c r="M189" s="268" t="s">
        <v>748</v>
      </c>
      <c r="N189" s="292" t="s">
        <v>2995</v>
      </c>
      <c r="O189" s="270" t="s">
        <v>2593</v>
      </c>
      <c r="P189" s="295">
        <v>79000</v>
      </c>
      <c r="Q189" s="295">
        <v>30900</v>
      </c>
      <c r="R189" s="272">
        <v>0.5</v>
      </c>
    </row>
    <row r="190" spans="12:18" ht="18" customHeight="1">
      <c r="L190" s="267" t="s">
        <v>2996</v>
      </c>
      <c r="M190" s="268" t="s">
        <v>748</v>
      </c>
      <c r="N190" s="292" t="s">
        <v>2997</v>
      </c>
      <c r="O190" s="270" t="s">
        <v>2593</v>
      </c>
      <c r="P190" s="295">
        <v>84000</v>
      </c>
      <c r="Q190" s="295">
        <v>35400</v>
      </c>
      <c r="R190" s="272">
        <v>0.5</v>
      </c>
    </row>
    <row r="191" spans="12:18" ht="18" customHeight="1">
      <c r="L191" s="267" t="s">
        <v>2998</v>
      </c>
      <c r="M191" s="268" t="s">
        <v>748</v>
      </c>
      <c r="N191" s="292" t="s">
        <v>2999</v>
      </c>
      <c r="O191" s="270" t="s">
        <v>2593</v>
      </c>
      <c r="P191" s="295">
        <v>96000</v>
      </c>
      <c r="Q191" s="295">
        <v>47600</v>
      </c>
      <c r="R191" s="272">
        <v>0.5</v>
      </c>
    </row>
    <row r="192" spans="12:18" ht="18" customHeight="1">
      <c r="L192" s="273" t="s">
        <v>3000</v>
      </c>
      <c r="M192" s="274" t="s">
        <v>748</v>
      </c>
      <c r="N192" s="293" t="s">
        <v>3001</v>
      </c>
      <c r="O192" s="276" t="s">
        <v>2593</v>
      </c>
      <c r="P192" s="296">
        <v>98000</v>
      </c>
      <c r="Q192" s="296">
        <v>51200</v>
      </c>
      <c r="R192" s="278">
        <v>0.7</v>
      </c>
    </row>
    <row r="193" spans="12:18" ht="18" customHeight="1">
      <c r="L193" s="261" t="s">
        <v>3002</v>
      </c>
      <c r="M193" s="279" t="s">
        <v>989</v>
      </c>
      <c r="N193" s="291" t="s">
        <v>3003</v>
      </c>
      <c r="O193" s="281" t="s">
        <v>991</v>
      </c>
      <c r="P193" s="294">
        <v>2600</v>
      </c>
      <c r="Q193" s="294">
        <v>594</v>
      </c>
      <c r="R193" s="283">
        <v>0.1</v>
      </c>
    </row>
    <row r="194" spans="12:18" ht="18" customHeight="1">
      <c r="L194" s="267" t="s">
        <v>3004</v>
      </c>
      <c r="M194" s="268" t="s">
        <v>989</v>
      </c>
      <c r="N194" s="292" t="s">
        <v>3005</v>
      </c>
      <c r="O194" s="270" t="s">
        <v>991</v>
      </c>
      <c r="P194" s="295">
        <v>5540</v>
      </c>
      <c r="Q194" s="295">
        <v>1470</v>
      </c>
      <c r="R194" s="272">
        <v>0.1</v>
      </c>
    </row>
    <row r="195" spans="12:18" ht="18" customHeight="1">
      <c r="L195" s="267" t="s">
        <v>3006</v>
      </c>
      <c r="M195" s="268" t="s">
        <v>989</v>
      </c>
      <c r="N195" s="292" t="s">
        <v>3007</v>
      </c>
      <c r="O195" s="270" t="s">
        <v>991</v>
      </c>
      <c r="P195" s="295">
        <v>6470</v>
      </c>
      <c r="Q195" s="295">
        <v>1662</v>
      </c>
      <c r="R195" s="272">
        <v>0.1</v>
      </c>
    </row>
    <row r="196" spans="12:18" ht="18" customHeight="1">
      <c r="L196" s="267" t="s">
        <v>3008</v>
      </c>
      <c r="M196" s="268" t="s">
        <v>989</v>
      </c>
      <c r="N196" s="292" t="s">
        <v>3009</v>
      </c>
      <c r="O196" s="270" t="s">
        <v>991</v>
      </c>
      <c r="P196" s="295">
        <v>6810</v>
      </c>
      <c r="Q196" s="295">
        <v>1252</v>
      </c>
      <c r="R196" s="272">
        <v>0.1</v>
      </c>
    </row>
    <row r="197" spans="12:18" ht="18" customHeight="1">
      <c r="L197" s="267" t="s">
        <v>3010</v>
      </c>
      <c r="M197" s="268" t="s">
        <v>989</v>
      </c>
      <c r="N197" s="292" t="s">
        <v>3011</v>
      </c>
      <c r="O197" s="270" t="s">
        <v>991</v>
      </c>
      <c r="P197" s="295">
        <v>8100</v>
      </c>
      <c r="Q197" s="295">
        <v>2465</v>
      </c>
      <c r="R197" s="272">
        <v>0.1</v>
      </c>
    </row>
    <row r="198" spans="12:18" ht="18" customHeight="1">
      <c r="L198" s="267"/>
      <c r="M198" s="268" t="s">
        <v>989</v>
      </c>
      <c r="N198" s="292" t="s">
        <v>3012</v>
      </c>
      <c r="O198" s="270" t="s">
        <v>991</v>
      </c>
      <c r="P198" s="295">
        <v>33600</v>
      </c>
      <c r="Q198" s="295">
        <v>15500</v>
      </c>
      <c r="R198" s="272">
        <v>0.15</v>
      </c>
    </row>
    <row r="199" spans="12:18" ht="18" customHeight="1">
      <c r="L199" s="267"/>
      <c r="M199" s="268" t="s">
        <v>989</v>
      </c>
      <c r="N199" s="292" t="s">
        <v>3013</v>
      </c>
      <c r="O199" s="270" t="s">
        <v>991</v>
      </c>
      <c r="P199" s="295">
        <v>37600</v>
      </c>
      <c r="Q199" s="295">
        <v>17000</v>
      </c>
      <c r="R199" s="272">
        <v>0.2</v>
      </c>
    </row>
    <row r="200" spans="12:18" ht="18" customHeight="1">
      <c r="L200" s="267"/>
      <c r="M200" s="268" t="s">
        <v>989</v>
      </c>
      <c r="N200" s="292" t="s">
        <v>3014</v>
      </c>
      <c r="O200" s="270" t="s">
        <v>991</v>
      </c>
      <c r="P200" s="295">
        <v>40900</v>
      </c>
      <c r="Q200" s="295">
        <v>18500</v>
      </c>
      <c r="R200" s="272">
        <v>0.2</v>
      </c>
    </row>
    <row r="201" spans="12:18" ht="18" customHeight="1">
      <c r="L201" s="267" t="s">
        <v>3015</v>
      </c>
      <c r="M201" s="309" t="s">
        <v>1107</v>
      </c>
      <c r="N201" s="292" t="s">
        <v>990</v>
      </c>
      <c r="O201" s="270" t="s">
        <v>991</v>
      </c>
      <c r="P201" s="295">
        <v>3390</v>
      </c>
      <c r="Q201" s="295">
        <v>686</v>
      </c>
      <c r="R201" s="272">
        <v>0.1</v>
      </c>
    </row>
    <row r="202" spans="12:18" ht="18" customHeight="1">
      <c r="L202" s="267" t="s">
        <v>3016</v>
      </c>
      <c r="M202" s="309" t="s">
        <v>1107</v>
      </c>
      <c r="N202" s="292" t="s">
        <v>3007</v>
      </c>
      <c r="O202" s="270" t="s">
        <v>991</v>
      </c>
      <c r="P202" s="295">
        <v>3860</v>
      </c>
      <c r="Q202" s="295">
        <v>927</v>
      </c>
      <c r="R202" s="272">
        <v>0.1</v>
      </c>
    </row>
    <row r="203" spans="12:18" ht="18" customHeight="1">
      <c r="L203" s="267" t="s">
        <v>3017</v>
      </c>
      <c r="M203" s="309" t="s">
        <v>1107</v>
      </c>
      <c r="N203" s="292" t="s">
        <v>347</v>
      </c>
      <c r="O203" s="270" t="s">
        <v>991</v>
      </c>
      <c r="P203" s="295">
        <v>7140</v>
      </c>
      <c r="Q203" s="295">
        <v>1348</v>
      </c>
      <c r="R203" s="272">
        <v>0.1</v>
      </c>
    </row>
    <row r="204" spans="12:18" ht="18" customHeight="1">
      <c r="L204" s="273" t="s">
        <v>3018</v>
      </c>
      <c r="M204" s="310" t="s">
        <v>1107</v>
      </c>
      <c r="N204" s="293" t="s">
        <v>387</v>
      </c>
      <c r="O204" s="276" t="s">
        <v>991</v>
      </c>
      <c r="P204" s="296">
        <v>14300</v>
      </c>
      <c r="Q204" s="296">
        <v>2930</v>
      </c>
      <c r="R204" s="278">
        <v>0.1</v>
      </c>
    </row>
    <row r="205" spans="12:18" ht="18" customHeight="1">
      <c r="L205" s="261" t="s">
        <v>3019</v>
      </c>
      <c r="M205" s="279" t="s">
        <v>1167</v>
      </c>
      <c r="N205" s="291" t="s">
        <v>3003</v>
      </c>
      <c r="O205" s="281" t="s">
        <v>947</v>
      </c>
      <c r="P205" s="294">
        <v>1750</v>
      </c>
      <c r="Q205" s="294">
        <v>406</v>
      </c>
      <c r="R205" s="283">
        <v>0.1</v>
      </c>
    </row>
    <row r="206" spans="12:18" ht="18" customHeight="1">
      <c r="L206" s="267" t="s">
        <v>3020</v>
      </c>
      <c r="M206" s="268" t="s">
        <v>1167</v>
      </c>
      <c r="N206" s="292" t="s">
        <v>3005</v>
      </c>
      <c r="O206" s="270" t="s">
        <v>947</v>
      </c>
      <c r="P206" s="295">
        <v>2840</v>
      </c>
      <c r="Q206" s="295">
        <v>525</v>
      </c>
      <c r="R206" s="272">
        <v>0.1</v>
      </c>
    </row>
    <row r="207" spans="12:18" ht="18" customHeight="1">
      <c r="L207" s="267" t="s">
        <v>3021</v>
      </c>
      <c r="M207" s="268" t="s">
        <v>1167</v>
      </c>
      <c r="N207" s="292" t="s">
        <v>3009</v>
      </c>
      <c r="O207" s="270" t="s">
        <v>947</v>
      </c>
      <c r="P207" s="295">
        <v>8160</v>
      </c>
      <c r="Q207" s="295">
        <v>1505</v>
      </c>
      <c r="R207" s="272">
        <v>0.1</v>
      </c>
    </row>
    <row r="208" spans="12:18" ht="18" customHeight="1">
      <c r="L208" s="267" t="s">
        <v>3022</v>
      </c>
      <c r="M208" s="268" t="s">
        <v>1189</v>
      </c>
      <c r="N208" s="292" t="s">
        <v>3007</v>
      </c>
      <c r="O208" s="270" t="s">
        <v>947</v>
      </c>
      <c r="P208" s="295">
        <v>4990</v>
      </c>
      <c r="Q208" s="295">
        <v>1093</v>
      </c>
      <c r="R208" s="272">
        <v>0.1</v>
      </c>
    </row>
    <row r="209" spans="12:18" ht="18" customHeight="1">
      <c r="L209" s="267" t="s">
        <v>3023</v>
      </c>
      <c r="M209" s="268" t="s">
        <v>1189</v>
      </c>
      <c r="N209" s="292" t="s">
        <v>3011</v>
      </c>
      <c r="O209" s="270" t="s">
        <v>947</v>
      </c>
      <c r="P209" s="295">
        <v>10900</v>
      </c>
      <c r="Q209" s="295">
        <v>2034</v>
      </c>
      <c r="R209" s="272">
        <v>0.1</v>
      </c>
    </row>
    <row r="210" spans="12:18" ht="18" customHeight="1">
      <c r="L210" s="267"/>
      <c r="M210" s="268" t="s">
        <v>1189</v>
      </c>
      <c r="N210" s="292" t="s">
        <v>3012</v>
      </c>
      <c r="O210" s="270" t="s">
        <v>947</v>
      </c>
      <c r="P210" s="295">
        <v>22000</v>
      </c>
      <c r="Q210" s="295">
        <v>10600</v>
      </c>
      <c r="R210" s="272">
        <v>0.15</v>
      </c>
    </row>
    <row r="211" spans="12:18" ht="18" customHeight="1">
      <c r="L211" s="267"/>
      <c r="M211" s="268" t="s">
        <v>1189</v>
      </c>
      <c r="N211" s="292" t="s">
        <v>3013</v>
      </c>
      <c r="O211" s="270" t="s">
        <v>947</v>
      </c>
      <c r="P211" s="295">
        <v>41500</v>
      </c>
      <c r="Q211" s="295">
        <v>20900</v>
      </c>
      <c r="R211" s="272">
        <v>0.2</v>
      </c>
    </row>
    <row r="212" spans="12:18" ht="18" customHeight="1">
      <c r="L212" s="267"/>
      <c r="M212" s="268" t="s">
        <v>1189</v>
      </c>
      <c r="N212" s="292" t="s">
        <v>3014</v>
      </c>
      <c r="O212" s="270" t="s">
        <v>947</v>
      </c>
      <c r="P212" s="295">
        <v>55800</v>
      </c>
      <c r="Q212" s="295">
        <v>31400</v>
      </c>
      <c r="R212" s="272">
        <v>0.2</v>
      </c>
    </row>
    <row r="213" spans="12:18" ht="18" customHeight="1">
      <c r="L213" s="267"/>
      <c r="M213" s="268" t="s">
        <v>3024</v>
      </c>
      <c r="N213" s="292" t="s">
        <v>3007</v>
      </c>
      <c r="O213" s="270" t="s">
        <v>947</v>
      </c>
      <c r="P213" s="295">
        <v>18600</v>
      </c>
      <c r="Q213" s="295">
        <v>6200</v>
      </c>
      <c r="R213" s="272">
        <v>0.1</v>
      </c>
    </row>
    <row r="214" spans="12:18" ht="18" customHeight="1">
      <c r="L214" s="267"/>
      <c r="M214" s="268" t="s">
        <v>3024</v>
      </c>
      <c r="N214" s="292" t="s">
        <v>3011</v>
      </c>
      <c r="O214" s="270" t="s">
        <v>947</v>
      </c>
      <c r="P214" s="295">
        <v>29500</v>
      </c>
      <c r="Q214" s="295">
        <v>9820</v>
      </c>
      <c r="R214" s="272">
        <v>0.1</v>
      </c>
    </row>
    <row r="215" spans="12:18" ht="18" customHeight="1">
      <c r="L215" s="267"/>
      <c r="M215" s="268" t="s">
        <v>3025</v>
      </c>
      <c r="N215" s="292" t="s">
        <v>3012</v>
      </c>
      <c r="O215" s="270" t="s">
        <v>947</v>
      </c>
      <c r="P215" s="295">
        <v>83600</v>
      </c>
      <c r="Q215" s="295">
        <v>38000</v>
      </c>
      <c r="R215" s="272">
        <v>0.3</v>
      </c>
    </row>
    <row r="216" spans="12:18" ht="18" customHeight="1">
      <c r="L216" s="267"/>
      <c r="M216" s="268" t="s">
        <v>3026</v>
      </c>
      <c r="N216" s="292" t="s">
        <v>3013</v>
      </c>
      <c r="O216" s="270" t="s">
        <v>947</v>
      </c>
      <c r="P216" s="295">
        <v>97500</v>
      </c>
      <c r="Q216" s="295">
        <v>44000</v>
      </c>
      <c r="R216" s="272">
        <v>0.3</v>
      </c>
    </row>
    <row r="217" spans="12:18" ht="18" customHeight="1">
      <c r="L217" s="267"/>
      <c r="M217" s="268" t="s">
        <v>3026</v>
      </c>
      <c r="N217" s="292" t="s">
        <v>3014</v>
      </c>
      <c r="O217" s="270" t="s">
        <v>947</v>
      </c>
      <c r="P217" s="295">
        <v>106100</v>
      </c>
      <c r="Q217" s="295">
        <v>48000</v>
      </c>
      <c r="R217" s="272">
        <v>0.3</v>
      </c>
    </row>
    <row r="218" spans="12:18" ht="18" customHeight="1">
      <c r="L218" s="267" t="s">
        <v>3027</v>
      </c>
      <c r="M218" s="268" t="s">
        <v>3028</v>
      </c>
      <c r="N218" s="292" t="s">
        <v>3029</v>
      </c>
      <c r="O218" s="270" t="s">
        <v>53</v>
      </c>
      <c r="P218" s="295">
        <v>51400</v>
      </c>
      <c r="Q218" s="295">
        <v>17038</v>
      </c>
      <c r="R218" s="272">
        <v>0.4</v>
      </c>
    </row>
    <row r="219" spans="12:18" ht="18" customHeight="1">
      <c r="L219" s="267" t="s">
        <v>3030</v>
      </c>
      <c r="M219" s="268" t="s">
        <v>1281</v>
      </c>
      <c r="N219" s="292" t="s">
        <v>3031</v>
      </c>
      <c r="O219" s="270" t="s">
        <v>53</v>
      </c>
      <c r="P219" s="295">
        <v>56400</v>
      </c>
      <c r="Q219" s="295">
        <v>8453</v>
      </c>
      <c r="R219" s="272">
        <v>0.4</v>
      </c>
    </row>
    <row r="220" spans="12:18" ht="18" customHeight="1">
      <c r="L220" s="267" t="s">
        <v>3032</v>
      </c>
      <c r="M220" s="268" t="s">
        <v>1281</v>
      </c>
      <c r="N220" s="292" t="s">
        <v>3033</v>
      </c>
      <c r="O220" s="270" t="s">
        <v>53</v>
      </c>
      <c r="P220" s="295">
        <v>77600</v>
      </c>
      <c r="Q220" s="295">
        <v>15742</v>
      </c>
      <c r="R220" s="272">
        <v>0.4</v>
      </c>
    </row>
    <row r="221" spans="12:18" ht="18" customHeight="1">
      <c r="L221" s="267" t="s">
        <v>3034</v>
      </c>
      <c r="M221" s="268" t="s">
        <v>1307</v>
      </c>
      <c r="N221" s="292" t="s">
        <v>3035</v>
      </c>
      <c r="O221" s="270" t="s">
        <v>53</v>
      </c>
      <c r="P221" s="295">
        <v>26900</v>
      </c>
      <c r="Q221" s="295">
        <v>6370</v>
      </c>
      <c r="R221" s="272">
        <v>0.1</v>
      </c>
    </row>
    <row r="222" spans="12:18" ht="18" customHeight="1">
      <c r="L222" s="267" t="s">
        <v>3036</v>
      </c>
      <c r="M222" s="268" t="s">
        <v>1307</v>
      </c>
      <c r="N222" s="292" t="s">
        <v>3037</v>
      </c>
      <c r="O222" s="270" t="s">
        <v>53</v>
      </c>
      <c r="P222" s="295">
        <v>32800</v>
      </c>
      <c r="Q222" s="295">
        <v>7546</v>
      </c>
      <c r="R222" s="272">
        <v>0.1</v>
      </c>
    </row>
    <row r="223" spans="12:18" ht="18" customHeight="1">
      <c r="L223" s="267"/>
      <c r="M223" s="268" t="s">
        <v>3038</v>
      </c>
      <c r="N223" s="292" t="s">
        <v>1011</v>
      </c>
      <c r="O223" s="270" t="s">
        <v>81</v>
      </c>
      <c r="P223" s="295">
        <v>6970</v>
      </c>
      <c r="Q223" s="295">
        <v>1800</v>
      </c>
      <c r="R223" s="272">
        <v>0.1</v>
      </c>
    </row>
    <row r="224" spans="12:18" ht="18" customHeight="1">
      <c r="L224" s="267"/>
      <c r="M224" s="268" t="s">
        <v>3038</v>
      </c>
      <c r="N224" s="292" t="s">
        <v>347</v>
      </c>
      <c r="O224" s="270" t="s">
        <v>81</v>
      </c>
      <c r="P224" s="295">
        <v>9440</v>
      </c>
      <c r="Q224" s="295">
        <v>2500</v>
      </c>
      <c r="R224" s="272">
        <v>0.1</v>
      </c>
    </row>
    <row r="225" spans="12:18" ht="18" customHeight="1">
      <c r="L225" s="267" t="s">
        <v>3039</v>
      </c>
      <c r="M225" s="309" t="s">
        <v>3040</v>
      </c>
      <c r="N225" s="292" t="s">
        <v>3041</v>
      </c>
      <c r="O225" s="270" t="s">
        <v>81</v>
      </c>
      <c r="P225" s="295">
        <v>71400</v>
      </c>
      <c r="Q225" s="295">
        <v>20535</v>
      </c>
      <c r="R225" s="272">
        <v>0.2</v>
      </c>
    </row>
    <row r="226" spans="12:18" ht="18" customHeight="1">
      <c r="L226" s="273" t="s">
        <v>3042</v>
      </c>
      <c r="M226" s="310" t="s">
        <v>3040</v>
      </c>
      <c r="N226" s="293" t="s">
        <v>3043</v>
      </c>
      <c r="O226" s="276" t="s">
        <v>81</v>
      </c>
      <c r="P226" s="296">
        <v>152600</v>
      </c>
      <c r="Q226" s="296">
        <v>41003</v>
      </c>
      <c r="R226" s="278">
        <v>0.3</v>
      </c>
    </row>
    <row r="227" spans="12:18" ht="18" customHeight="1">
      <c r="L227" s="261"/>
      <c r="M227" s="279" t="s">
        <v>344</v>
      </c>
      <c r="N227" s="291" t="s">
        <v>3044</v>
      </c>
      <c r="O227" s="281" t="s">
        <v>3045</v>
      </c>
      <c r="P227" s="294">
        <v>8000</v>
      </c>
      <c r="Q227" s="294">
        <v>3200</v>
      </c>
      <c r="R227" s="283">
        <v>0</v>
      </c>
    </row>
    <row r="228" spans="12:18" ht="18" customHeight="1">
      <c r="L228" s="267"/>
      <c r="M228" s="268" t="s">
        <v>344</v>
      </c>
      <c r="N228" s="292" t="s">
        <v>3046</v>
      </c>
      <c r="O228" s="270" t="s">
        <v>3045</v>
      </c>
      <c r="P228" s="295">
        <v>7000</v>
      </c>
      <c r="Q228" s="295">
        <v>3000</v>
      </c>
      <c r="R228" s="272">
        <v>0</v>
      </c>
    </row>
    <row r="229" spans="12:18" ht="18" customHeight="1">
      <c r="L229" s="267"/>
      <c r="M229" s="268" t="s">
        <v>344</v>
      </c>
      <c r="N229" s="292" t="s">
        <v>3047</v>
      </c>
      <c r="O229" s="270" t="s">
        <v>3045</v>
      </c>
      <c r="P229" s="295">
        <v>5000</v>
      </c>
      <c r="Q229" s="295">
        <v>2000</v>
      </c>
      <c r="R229" s="272">
        <v>0</v>
      </c>
    </row>
    <row r="230" spans="12:18" ht="18" customHeight="1">
      <c r="L230" s="267"/>
      <c r="M230" s="268" t="s">
        <v>344</v>
      </c>
      <c r="N230" s="292" t="s">
        <v>3048</v>
      </c>
      <c r="O230" s="270" t="s">
        <v>3045</v>
      </c>
      <c r="P230" s="295">
        <v>8000</v>
      </c>
      <c r="Q230" s="295">
        <v>3500</v>
      </c>
      <c r="R230" s="272">
        <v>0</v>
      </c>
    </row>
    <row r="231" spans="12:18" ht="18" customHeight="1">
      <c r="L231" s="267"/>
      <c r="M231" s="268" t="s">
        <v>344</v>
      </c>
      <c r="N231" s="292" t="s">
        <v>3049</v>
      </c>
      <c r="O231" s="270" t="s">
        <v>3045</v>
      </c>
      <c r="P231" s="295">
        <v>4500</v>
      </c>
      <c r="Q231" s="295">
        <v>2000</v>
      </c>
      <c r="R231" s="272">
        <v>0</v>
      </c>
    </row>
    <row r="232" spans="12:18" ht="18" customHeight="1">
      <c r="L232" s="273"/>
      <c r="M232" s="274" t="s">
        <v>344</v>
      </c>
      <c r="N232" s="293" t="s">
        <v>3050</v>
      </c>
      <c r="O232" s="276" t="s">
        <v>3045</v>
      </c>
      <c r="P232" s="296">
        <v>7000</v>
      </c>
      <c r="Q232" s="296">
        <v>3000</v>
      </c>
      <c r="R232" s="278">
        <v>0</v>
      </c>
    </row>
    <row r="233" spans="12:18" ht="18" customHeight="1">
      <c r="L233" s="261"/>
      <c r="M233" s="279" t="s">
        <v>608</v>
      </c>
      <c r="N233" s="291" t="s">
        <v>3044</v>
      </c>
      <c r="O233" s="281" t="s">
        <v>3045</v>
      </c>
      <c r="P233" s="294">
        <v>16600</v>
      </c>
      <c r="Q233" s="294">
        <v>8300</v>
      </c>
      <c r="R233" s="283">
        <v>0</v>
      </c>
    </row>
    <row r="234" spans="12:18" ht="18" customHeight="1">
      <c r="L234" s="267"/>
      <c r="M234" s="268" t="s">
        <v>608</v>
      </c>
      <c r="N234" s="292" t="s">
        <v>3046</v>
      </c>
      <c r="O234" s="270" t="s">
        <v>3045</v>
      </c>
      <c r="P234" s="295">
        <v>14200</v>
      </c>
      <c r="Q234" s="295">
        <v>7120</v>
      </c>
      <c r="R234" s="272">
        <v>0</v>
      </c>
    </row>
    <row r="235" spans="12:18" ht="18" customHeight="1">
      <c r="L235" s="267"/>
      <c r="M235" s="268" t="s">
        <v>608</v>
      </c>
      <c r="N235" s="292" t="s">
        <v>3047</v>
      </c>
      <c r="O235" s="270" t="s">
        <v>3045</v>
      </c>
      <c r="P235" s="295">
        <v>10900</v>
      </c>
      <c r="Q235" s="295">
        <v>5490</v>
      </c>
      <c r="R235" s="272">
        <v>0</v>
      </c>
    </row>
    <row r="236" spans="12:18" ht="18" customHeight="1">
      <c r="L236" s="267"/>
      <c r="M236" s="268" t="s">
        <v>608</v>
      </c>
      <c r="N236" s="292" t="s">
        <v>3051</v>
      </c>
      <c r="O236" s="270" t="s">
        <v>3045</v>
      </c>
      <c r="P236" s="295">
        <v>16700</v>
      </c>
      <c r="Q236" s="295">
        <v>8370</v>
      </c>
      <c r="R236" s="272">
        <v>0</v>
      </c>
    </row>
    <row r="237" spans="12:18" ht="18" customHeight="1">
      <c r="L237" s="267"/>
      <c r="M237" s="268" t="s">
        <v>608</v>
      </c>
      <c r="N237" s="292" t="s">
        <v>3052</v>
      </c>
      <c r="O237" s="270" t="s">
        <v>3045</v>
      </c>
      <c r="P237" s="295">
        <v>14600</v>
      </c>
      <c r="Q237" s="295">
        <v>7340</v>
      </c>
      <c r="R237" s="272">
        <v>0</v>
      </c>
    </row>
    <row r="238" spans="12:18" ht="18" customHeight="1">
      <c r="L238" s="267"/>
      <c r="M238" s="268" t="s">
        <v>608</v>
      </c>
      <c r="N238" s="292" t="s">
        <v>3053</v>
      </c>
      <c r="O238" s="270" t="s">
        <v>3045</v>
      </c>
      <c r="P238" s="295">
        <v>12900</v>
      </c>
      <c r="Q238" s="295">
        <v>6460</v>
      </c>
      <c r="R238" s="272">
        <v>0</v>
      </c>
    </row>
    <row r="239" spans="12:18" ht="18" customHeight="1">
      <c r="L239" s="267"/>
      <c r="M239" s="268" t="s">
        <v>608</v>
      </c>
      <c r="N239" s="292" t="s">
        <v>3054</v>
      </c>
      <c r="O239" s="270" t="s">
        <v>3045</v>
      </c>
      <c r="P239" s="295">
        <v>21800</v>
      </c>
      <c r="Q239" s="295">
        <v>10930</v>
      </c>
      <c r="R239" s="272">
        <v>0</v>
      </c>
    </row>
    <row r="240" spans="12:18" ht="18" customHeight="1">
      <c r="L240" s="267"/>
      <c r="M240" s="268" t="s">
        <v>608</v>
      </c>
      <c r="N240" s="292" t="s">
        <v>3055</v>
      </c>
      <c r="O240" s="270" t="s">
        <v>3045</v>
      </c>
      <c r="P240" s="295">
        <v>19100</v>
      </c>
      <c r="Q240" s="295">
        <v>9590</v>
      </c>
      <c r="R240" s="272">
        <v>0</v>
      </c>
    </row>
    <row r="241" spans="12:18" ht="18" customHeight="1">
      <c r="L241" s="273"/>
      <c r="M241" s="274" t="s">
        <v>608</v>
      </c>
      <c r="N241" s="293" t="s">
        <v>3056</v>
      </c>
      <c r="O241" s="276" t="s">
        <v>3045</v>
      </c>
      <c r="P241" s="296">
        <v>16700</v>
      </c>
      <c r="Q241" s="296">
        <v>8360</v>
      </c>
      <c r="R241" s="278">
        <v>0</v>
      </c>
    </row>
    <row r="242" spans="12:18" ht="18" customHeight="1">
      <c r="L242" s="261"/>
      <c r="M242" s="268" t="s">
        <v>944</v>
      </c>
      <c r="N242" s="292" t="s">
        <v>3057</v>
      </c>
      <c r="O242" s="270" t="s">
        <v>3045</v>
      </c>
      <c r="P242" s="295">
        <v>7400</v>
      </c>
      <c r="Q242" s="295">
        <v>4140</v>
      </c>
      <c r="R242" s="272">
        <v>0</v>
      </c>
    </row>
    <row r="243" spans="12:18" ht="18" customHeight="1">
      <c r="L243" s="267"/>
      <c r="M243" s="268" t="s">
        <v>944</v>
      </c>
      <c r="N243" s="292" t="s">
        <v>3058</v>
      </c>
      <c r="O243" s="270" t="s">
        <v>3045</v>
      </c>
      <c r="P243" s="295">
        <v>9600</v>
      </c>
      <c r="Q243" s="295">
        <v>5370</v>
      </c>
      <c r="R243" s="272">
        <v>0</v>
      </c>
    </row>
    <row r="244" spans="12:18" ht="18" customHeight="1">
      <c r="L244" s="267"/>
      <c r="M244" s="268" t="s">
        <v>944</v>
      </c>
      <c r="N244" s="292" t="s">
        <v>3059</v>
      </c>
      <c r="O244" s="270" t="s">
        <v>3045</v>
      </c>
      <c r="P244" s="295">
        <v>14200</v>
      </c>
      <c r="Q244" s="295">
        <v>7980</v>
      </c>
      <c r="R244" s="272">
        <v>0</v>
      </c>
    </row>
    <row r="245" spans="12:18" ht="18" customHeight="1">
      <c r="L245" s="267"/>
      <c r="M245" s="268" t="s">
        <v>944</v>
      </c>
      <c r="N245" s="292" t="s">
        <v>3060</v>
      </c>
      <c r="O245" s="270" t="s">
        <v>3045</v>
      </c>
      <c r="P245" s="295">
        <v>18800</v>
      </c>
      <c r="Q245" s="295">
        <v>10580</v>
      </c>
      <c r="R245" s="272">
        <v>0</v>
      </c>
    </row>
    <row r="246" spans="12:18" ht="18" customHeight="1">
      <c r="L246" s="267"/>
      <c r="M246" s="268" t="s">
        <v>944</v>
      </c>
      <c r="N246" s="292" t="s">
        <v>3061</v>
      </c>
      <c r="O246" s="270" t="s">
        <v>3045</v>
      </c>
      <c r="P246" s="295">
        <v>22800</v>
      </c>
      <c r="Q246" s="295">
        <v>12830</v>
      </c>
      <c r="R246" s="272">
        <v>0</v>
      </c>
    </row>
    <row r="247" spans="12:18" ht="18" customHeight="1">
      <c r="L247" s="267"/>
      <c r="M247" s="268" t="s">
        <v>944</v>
      </c>
      <c r="N247" s="292" t="s">
        <v>3062</v>
      </c>
      <c r="O247" s="270" t="s">
        <v>3045</v>
      </c>
      <c r="P247" s="295">
        <v>8600</v>
      </c>
      <c r="Q247" s="295">
        <v>4840</v>
      </c>
      <c r="R247" s="272">
        <v>0</v>
      </c>
    </row>
    <row r="248" spans="12:18" ht="18" customHeight="1">
      <c r="L248" s="267"/>
      <c r="M248" s="268" t="s">
        <v>944</v>
      </c>
      <c r="N248" s="292" t="s">
        <v>3063</v>
      </c>
      <c r="O248" s="270" t="s">
        <v>3045</v>
      </c>
      <c r="P248" s="295">
        <v>11400</v>
      </c>
      <c r="Q248" s="295">
        <v>6440</v>
      </c>
      <c r="R248" s="272">
        <v>0</v>
      </c>
    </row>
    <row r="249" spans="12:18" ht="18" customHeight="1">
      <c r="L249" s="267"/>
      <c r="M249" s="268" t="s">
        <v>944</v>
      </c>
      <c r="N249" s="292" t="s">
        <v>3064</v>
      </c>
      <c r="O249" s="270" t="s">
        <v>3045</v>
      </c>
      <c r="P249" s="295">
        <v>17100</v>
      </c>
      <c r="Q249" s="295">
        <v>9640</v>
      </c>
      <c r="R249" s="272">
        <v>0</v>
      </c>
    </row>
    <row r="250" spans="12:18" ht="18" customHeight="1">
      <c r="L250" s="267"/>
      <c r="M250" s="268" t="s">
        <v>944</v>
      </c>
      <c r="N250" s="292" t="s">
        <v>3065</v>
      </c>
      <c r="O250" s="270" t="s">
        <v>3045</v>
      </c>
      <c r="P250" s="295">
        <v>22800</v>
      </c>
      <c r="Q250" s="295">
        <v>12830</v>
      </c>
      <c r="R250" s="272">
        <v>0</v>
      </c>
    </row>
    <row r="251" spans="12:18" ht="18" customHeight="1">
      <c r="L251" s="267"/>
      <c r="M251" s="268" t="s">
        <v>944</v>
      </c>
      <c r="N251" s="292" t="s">
        <v>3066</v>
      </c>
      <c r="O251" s="270" t="s">
        <v>3045</v>
      </c>
      <c r="P251" s="295">
        <v>27600</v>
      </c>
      <c r="Q251" s="295">
        <v>15560</v>
      </c>
      <c r="R251" s="272">
        <v>0</v>
      </c>
    </row>
    <row r="252" spans="12:18" ht="18" customHeight="1">
      <c r="L252" s="267"/>
      <c r="M252" s="268" t="s">
        <v>944</v>
      </c>
      <c r="N252" s="292" t="s">
        <v>3067</v>
      </c>
      <c r="O252" s="270" t="s">
        <v>3045</v>
      </c>
      <c r="P252" s="295">
        <v>10000</v>
      </c>
      <c r="Q252" s="295">
        <v>5610</v>
      </c>
      <c r="R252" s="272">
        <v>0</v>
      </c>
    </row>
    <row r="253" spans="12:18" ht="18" customHeight="1">
      <c r="L253" s="267"/>
      <c r="M253" s="268" t="s">
        <v>944</v>
      </c>
      <c r="N253" s="292" t="s">
        <v>3068</v>
      </c>
      <c r="O253" s="270" t="s">
        <v>3045</v>
      </c>
      <c r="P253" s="295">
        <v>13200</v>
      </c>
      <c r="Q253" s="295">
        <v>7440</v>
      </c>
      <c r="R253" s="272">
        <v>0</v>
      </c>
    </row>
    <row r="254" spans="12:18" ht="18" customHeight="1">
      <c r="L254" s="267"/>
      <c r="M254" s="268" t="s">
        <v>944</v>
      </c>
      <c r="N254" s="292" t="s">
        <v>3069</v>
      </c>
      <c r="O254" s="270" t="s">
        <v>3045</v>
      </c>
      <c r="P254" s="295">
        <v>20100</v>
      </c>
      <c r="Q254" s="295">
        <v>11290</v>
      </c>
      <c r="R254" s="272">
        <v>0</v>
      </c>
    </row>
    <row r="255" spans="12:18" ht="18" customHeight="1">
      <c r="L255" s="267"/>
      <c r="M255" s="268" t="s">
        <v>944</v>
      </c>
      <c r="N255" s="292" t="s">
        <v>3070</v>
      </c>
      <c r="O255" s="270" t="s">
        <v>3045</v>
      </c>
      <c r="P255" s="295">
        <v>25900</v>
      </c>
      <c r="Q255" s="295">
        <v>14610</v>
      </c>
      <c r="R255" s="272">
        <v>0</v>
      </c>
    </row>
    <row r="256" spans="12:18" ht="18" customHeight="1">
      <c r="L256" s="273"/>
      <c r="M256" s="274" t="s">
        <v>944</v>
      </c>
      <c r="N256" s="293" t="s">
        <v>3071</v>
      </c>
      <c r="O256" s="276" t="s">
        <v>3045</v>
      </c>
      <c r="P256" s="296">
        <v>31400</v>
      </c>
      <c r="Q256" s="296">
        <v>17680</v>
      </c>
      <c r="R256" s="278">
        <v>0</v>
      </c>
    </row>
    <row r="257" spans="12:18" ht="18" customHeight="1">
      <c r="L257" s="261"/>
      <c r="M257" s="279" t="s">
        <v>1217</v>
      </c>
      <c r="N257" s="291" t="s">
        <v>3072</v>
      </c>
      <c r="O257" s="281" t="s">
        <v>947</v>
      </c>
      <c r="P257" s="294">
        <v>11400</v>
      </c>
      <c r="Q257" s="294">
        <v>5690</v>
      </c>
      <c r="R257" s="283">
        <v>0</v>
      </c>
    </row>
    <row r="258" spans="12:18" ht="18" customHeight="1">
      <c r="L258" s="267"/>
      <c r="M258" s="268" t="s">
        <v>1217</v>
      </c>
      <c r="N258" s="292" t="s">
        <v>3073</v>
      </c>
      <c r="O258" s="270" t="s">
        <v>947</v>
      </c>
      <c r="P258" s="295">
        <v>13900</v>
      </c>
      <c r="Q258" s="295">
        <v>6950</v>
      </c>
      <c r="R258" s="272">
        <v>0</v>
      </c>
    </row>
    <row r="259" spans="12:18" ht="18" customHeight="1">
      <c r="L259" s="267"/>
      <c r="M259" s="268" t="s">
        <v>1217</v>
      </c>
      <c r="N259" s="292" t="s">
        <v>3074</v>
      </c>
      <c r="O259" s="270" t="s">
        <v>947</v>
      </c>
      <c r="P259" s="295">
        <v>17000</v>
      </c>
      <c r="Q259" s="295">
        <v>8490</v>
      </c>
      <c r="R259" s="272">
        <v>0</v>
      </c>
    </row>
    <row r="260" spans="12:18" ht="18" customHeight="1">
      <c r="L260" s="267"/>
      <c r="M260" s="268" t="s">
        <v>1217</v>
      </c>
      <c r="N260" s="292" t="s">
        <v>3075</v>
      </c>
      <c r="O260" s="270" t="s">
        <v>947</v>
      </c>
      <c r="P260" s="295">
        <v>15700</v>
      </c>
      <c r="Q260" s="295">
        <v>7850</v>
      </c>
      <c r="R260" s="272">
        <v>0</v>
      </c>
    </row>
    <row r="261" spans="12:18" ht="18" customHeight="1">
      <c r="L261" s="267"/>
      <c r="M261" s="268" t="s">
        <v>1217</v>
      </c>
      <c r="N261" s="292" t="s">
        <v>3076</v>
      </c>
      <c r="O261" s="270" t="s">
        <v>947</v>
      </c>
      <c r="P261" s="295">
        <v>19500</v>
      </c>
      <c r="Q261" s="295">
        <v>9740</v>
      </c>
      <c r="R261" s="272">
        <v>0</v>
      </c>
    </row>
    <row r="262" spans="12:18" ht="18" customHeight="1">
      <c r="L262" s="273"/>
      <c r="M262" s="274" t="s">
        <v>1217</v>
      </c>
      <c r="N262" s="293" t="s">
        <v>3077</v>
      </c>
      <c r="O262" s="276" t="s">
        <v>947</v>
      </c>
      <c r="P262" s="296">
        <v>24000</v>
      </c>
      <c r="Q262" s="296">
        <v>11990</v>
      </c>
      <c r="R262" s="278">
        <v>0</v>
      </c>
    </row>
    <row r="263" spans="12:18" ht="18" customHeight="1">
      <c r="L263" s="261" t="s">
        <v>3078</v>
      </c>
      <c r="M263" s="279" t="s">
        <v>1266</v>
      </c>
      <c r="N263" s="291" t="s">
        <v>3079</v>
      </c>
      <c r="O263" s="281" t="s">
        <v>53</v>
      </c>
      <c r="P263" s="294">
        <v>700</v>
      </c>
      <c r="Q263" s="294">
        <v>90</v>
      </c>
      <c r="R263" s="283">
        <v>0</v>
      </c>
    </row>
    <row r="264" spans="12:18" ht="18" customHeight="1">
      <c r="L264" s="267" t="s">
        <v>3080</v>
      </c>
      <c r="M264" s="268" t="s">
        <v>1266</v>
      </c>
      <c r="N264" s="292" t="s">
        <v>3081</v>
      </c>
      <c r="O264" s="270" t="s">
        <v>1268</v>
      </c>
      <c r="P264" s="295">
        <v>720</v>
      </c>
      <c r="Q264" s="295">
        <v>102</v>
      </c>
      <c r="R264" s="272">
        <v>0</v>
      </c>
    </row>
    <row r="265" spans="12:18" ht="18" customHeight="1">
      <c r="L265" s="267" t="s">
        <v>3082</v>
      </c>
      <c r="M265" s="268" t="s">
        <v>1266</v>
      </c>
      <c r="N265" s="292" t="s">
        <v>3083</v>
      </c>
      <c r="O265" s="270" t="s">
        <v>1268</v>
      </c>
      <c r="P265" s="295">
        <v>880</v>
      </c>
      <c r="Q265" s="295">
        <v>113</v>
      </c>
      <c r="R265" s="272">
        <v>0</v>
      </c>
    </row>
    <row r="266" spans="12:18" ht="18" customHeight="1">
      <c r="L266" s="267" t="s">
        <v>3084</v>
      </c>
      <c r="M266" s="268" t="s">
        <v>1266</v>
      </c>
      <c r="N266" s="292" t="s">
        <v>3085</v>
      </c>
      <c r="O266" s="270" t="s">
        <v>1268</v>
      </c>
      <c r="P266" s="295">
        <v>1000</v>
      </c>
      <c r="Q266" s="295">
        <v>136</v>
      </c>
      <c r="R266" s="272">
        <v>0</v>
      </c>
    </row>
    <row r="267" spans="12:18" ht="18" customHeight="1">
      <c r="L267" s="267" t="s">
        <v>3086</v>
      </c>
      <c r="M267" s="268" t="s">
        <v>1266</v>
      </c>
      <c r="N267" s="292" t="s">
        <v>3087</v>
      </c>
      <c r="O267" s="270" t="s">
        <v>53</v>
      </c>
      <c r="P267" s="295">
        <v>1080</v>
      </c>
      <c r="Q267" s="295">
        <v>155</v>
      </c>
      <c r="R267" s="272">
        <v>0</v>
      </c>
    </row>
    <row r="268" spans="12:18" ht="18" customHeight="1">
      <c r="L268" s="267" t="s">
        <v>3088</v>
      </c>
      <c r="M268" s="268" t="s">
        <v>1329</v>
      </c>
      <c r="N268" s="292" t="s">
        <v>1330</v>
      </c>
      <c r="O268" s="270" t="s">
        <v>1268</v>
      </c>
      <c r="P268" s="295">
        <v>16800</v>
      </c>
      <c r="Q268" s="295">
        <v>4450</v>
      </c>
      <c r="R268" s="272">
        <v>0</v>
      </c>
    </row>
    <row r="269" spans="12:18" ht="18" customHeight="1">
      <c r="L269" s="267" t="s">
        <v>3089</v>
      </c>
      <c r="M269" s="268" t="s">
        <v>1329</v>
      </c>
      <c r="N269" s="292" t="s">
        <v>1338</v>
      </c>
      <c r="O269" s="270" t="s">
        <v>1268</v>
      </c>
      <c r="P269" s="295">
        <v>25500</v>
      </c>
      <c r="Q269" s="295">
        <v>7968</v>
      </c>
      <c r="R269" s="272">
        <v>0</v>
      </c>
    </row>
    <row r="270" spans="12:18" ht="18" customHeight="1">
      <c r="L270" s="267" t="s">
        <v>3090</v>
      </c>
      <c r="M270" s="268" t="s">
        <v>1266</v>
      </c>
      <c r="N270" s="292" t="s">
        <v>3091</v>
      </c>
      <c r="O270" s="270" t="s">
        <v>53</v>
      </c>
      <c r="P270" s="295">
        <v>1310</v>
      </c>
      <c r="Q270" s="295">
        <v>440</v>
      </c>
      <c r="R270" s="272">
        <v>0</v>
      </c>
    </row>
    <row r="271" spans="12:18" ht="18" customHeight="1">
      <c r="L271" s="267" t="s">
        <v>3092</v>
      </c>
      <c r="M271" s="268" t="s">
        <v>1266</v>
      </c>
      <c r="N271" s="292" t="s">
        <v>3093</v>
      </c>
      <c r="O271" s="270" t="s">
        <v>1268</v>
      </c>
      <c r="P271" s="295">
        <v>1430</v>
      </c>
      <c r="Q271" s="295">
        <v>478</v>
      </c>
      <c r="R271" s="272">
        <v>0</v>
      </c>
    </row>
    <row r="272" spans="12:18" ht="18" customHeight="1">
      <c r="L272" s="267" t="s">
        <v>3094</v>
      </c>
      <c r="M272" s="268" t="s">
        <v>1266</v>
      </c>
      <c r="N272" s="292" t="s">
        <v>3095</v>
      </c>
      <c r="O272" s="270" t="s">
        <v>1268</v>
      </c>
      <c r="P272" s="295">
        <v>1660</v>
      </c>
      <c r="Q272" s="295">
        <v>520</v>
      </c>
      <c r="R272" s="272">
        <v>0</v>
      </c>
    </row>
    <row r="273" spans="12:18" ht="18" customHeight="1">
      <c r="L273" s="267" t="s">
        <v>3096</v>
      </c>
      <c r="M273" s="268" t="s">
        <v>1266</v>
      </c>
      <c r="N273" s="292" t="s">
        <v>3097</v>
      </c>
      <c r="O273" s="270" t="s">
        <v>1268</v>
      </c>
      <c r="P273" s="295">
        <v>1910</v>
      </c>
      <c r="Q273" s="295">
        <v>565</v>
      </c>
      <c r="R273" s="272">
        <v>0</v>
      </c>
    </row>
    <row r="274" spans="12:18" ht="18" customHeight="1">
      <c r="L274" s="297" t="s">
        <v>3098</v>
      </c>
      <c r="M274" s="274" t="s">
        <v>1266</v>
      </c>
      <c r="N274" s="293" t="s">
        <v>3099</v>
      </c>
      <c r="O274" s="276" t="s">
        <v>1268</v>
      </c>
      <c r="P274" s="296">
        <v>2040</v>
      </c>
      <c r="Q274" s="296">
        <v>650</v>
      </c>
      <c r="R274" s="278">
        <v>0</v>
      </c>
    </row>
    <row r="275" spans="12:18" ht="18" customHeight="1">
      <c r="L275" s="256" t="s">
        <v>3100</v>
      </c>
      <c r="M275" s="298" t="s">
        <v>3101</v>
      </c>
      <c r="N275" s="299" t="s">
        <v>805</v>
      </c>
      <c r="O275" s="257" t="s">
        <v>69</v>
      </c>
      <c r="P275" s="300">
        <v>86000</v>
      </c>
      <c r="Q275" s="300">
        <v>19698</v>
      </c>
      <c r="R275" s="311">
        <v>0.5</v>
      </c>
    </row>
    <row r="276" spans="12:18" ht="18" customHeight="1">
      <c r="L276" s="261" t="s">
        <v>3102</v>
      </c>
      <c r="M276" s="279" t="s">
        <v>288</v>
      </c>
      <c r="N276" s="291" t="s">
        <v>3103</v>
      </c>
      <c r="O276" s="281" t="s">
        <v>290</v>
      </c>
      <c r="P276" s="294">
        <v>22300</v>
      </c>
      <c r="Q276" s="294">
        <v>9016</v>
      </c>
      <c r="R276" s="306">
        <v>0.1</v>
      </c>
    </row>
    <row r="277" spans="12:18" ht="18" customHeight="1">
      <c r="L277" s="267" t="s">
        <v>3104</v>
      </c>
      <c r="M277" s="268" t="s">
        <v>288</v>
      </c>
      <c r="N277" s="292" t="s">
        <v>3105</v>
      </c>
      <c r="O277" s="270" t="s">
        <v>290</v>
      </c>
      <c r="P277" s="295">
        <v>52000</v>
      </c>
      <c r="Q277" s="295">
        <v>13622</v>
      </c>
      <c r="R277" s="307">
        <v>0.2</v>
      </c>
    </row>
    <row r="278" spans="12:18" ht="18" customHeight="1">
      <c r="L278" s="267" t="s">
        <v>3106</v>
      </c>
      <c r="M278" s="268" t="s">
        <v>288</v>
      </c>
      <c r="N278" s="292" t="s">
        <v>3107</v>
      </c>
      <c r="O278" s="270" t="s">
        <v>290</v>
      </c>
      <c r="P278" s="295">
        <v>74200</v>
      </c>
      <c r="Q278" s="295">
        <v>26264</v>
      </c>
      <c r="R278" s="307">
        <v>0.3</v>
      </c>
    </row>
    <row r="279" spans="12:18" ht="18" customHeight="1">
      <c r="L279" s="267"/>
      <c r="M279" s="268" t="s">
        <v>288</v>
      </c>
      <c r="N279" s="292" t="s">
        <v>3108</v>
      </c>
      <c r="O279" s="270" t="s">
        <v>290</v>
      </c>
      <c r="P279" s="295">
        <v>130000</v>
      </c>
      <c r="Q279" s="295">
        <v>65000</v>
      </c>
      <c r="R279" s="307">
        <v>1</v>
      </c>
    </row>
    <row r="280" spans="12:18" ht="18" customHeight="1">
      <c r="L280" s="267"/>
      <c r="M280" s="268" t="s">
        <v>288</v>
      </c>
      <c r="N280" s="292" t="s">
        <v>3109</v>
      </c>
      <c r="O280" s="270" t="s">
        <v>290</v>
      </c>
      <c r="P280" s="295">
        <v>130000</v>
      </c>
      <c r="Q280" s="295">
        <v>60000</v>
      </c>
      <c r="R280" s="307">
        <v>1</v>
      </c>
    </row>
    <row r="281" spans="12:18" ht="18" customHeight="1">
      <c r="L281" s="267"/>
      <c r="M281" s="268" t="s">
        <v>288</v>
      </c>
      <c r="N281" s="292" t="s">
        <v>463</v>
      </c>
      <c r="O281" s="270" t="s">
        <v>290</v>
      </c>
      <c r="P281" s="295">
        <v>160000</v>
      </c>
      <c r="Q281" s="295">
        <v>72000</v>
      </c>
      <c r="R281" s="307">
        <v>1.4</v>
      </c>
    </row>
    <row r="282" spans="12:18" ht="18" customHeight="1">
      <c r="L282" s="267"/>
      <c r="M282" s="268" t="s">
        <v>288</v>
      </c>
      <c r="N282" s="292" t="s">
        <v>3110</v>
      </c>
      <c r="O282" s="270" t="s">
        <v>290</v>
      </c>
      <c r="P282" s="295">
        <v>180000</v>
      </c>
      <c r="Q282" s="295">
        <v>85000</v>
      </c>
      <c r="R282" s="307">
        <v>1.4</v>
      </c>
    </row>
    <row r="283" spans="12:18" ht="18" customHeight="1">
      <c r="L283" s="267"/>
      <c r="M283" s="268" t="s">
        <v>288</v>
      </c>
      <c r="N283" s="292" t="s">
        <v>499</v>
      </c>
      <c r="O283" s="270" t="s">
        <v>290</v>
      </c>
      <c r="P283" s="295">
        <v>680000</v>
      </c>
      <c r="Q283" s="295">
        <v>425000</v>
      </c>
      <c r="R283" s="307">
        <v>2.4</v>
      </c>
    </row>
    <row r="284" spans="12:18" ht="18" customHeight="1">
      <c r="L284" s="267"/>
      <c r="M284" s="268" t="s">
        <v>288</v>
      </c>
      <c r="N284" s="292" t="s">
        <v>538</v>
      </c>
      <c r="O284" s="270" t="s">
        <v>290</v>
      </c>
      <c r="P284" s="295">
        <v>940000</v>
      </c>
      <c r="Q284" s="295">
        <v>580000</v>
      </c>
      <c r="R284" s="307">
        <v>3.5</v>
      </c>
    </row>
    <row r="285" spans="12:18" ht="18" customHeight="1">
      <c r="L285" s="267"/>
      <c r="M285" s="268" t="s">
        <v>288</v>
      </c>
      <c r="N285" s="292" t="s">
        <v>572</v>
      </c>
      <c r="O285" s="270" t="s">
        <v>290</v>
      </c>
      <c r="P285" s="295">
        <v>1320000</v>
      </c>
      <c r="Q285" s="295">
        <v>825000</v>
      </c>
      <c r="R285" s="307">
        <v>4.4000000000000004</v>
      </c>
    </row>
    <row r="286" spans="12:18" ht="18" customHeight="1">
      <c r="L286" s="273"/>
      <c r="M286" s="274" t="s">
        <v>288</v>
      </c>
      <c r="N286" s="293" t="s">
        <v>605</v>
      </c>
      <c r="O286" s="276" t="s">
        <v>290</v>
      </c>
      <c r="P286" s="296">
        <v>1580000</v>
      </c>
      <c r="Q286" s="296">
        <v>980000</v>
      </c>
      <c r="R286" s="305">
        <v>5.0999999999999996</v>
      </c>
    </row>
    <row r="287" spans="12:18" ht="18" customHeight="1">
      <c r="L287" s="261" t="s">
        <v>3111</v>
      </c>
      <c r="M287" s="279" t="s">
        <v>3112</v>
      </c>
      <c r="N287" s="291" t="s">
        <v>1892</v>
      </c>
      <c r="O287" s="281" t="s">
        <v>1268</v>
      </c>
      <c r="P287" s="294">
        <v>6910</v>
      </c>
      <c r="Q287" s="294">
        <v>2202</v>
      </c>
      <c r="R287" s="306">
        <v>0.3</v>
      </c>
    </row>
    <row r="288" spans="12:18" ht="18" customHeight="1">
      <c r="L288" s="267" t="s">
        <v>3113</v>
      </c>
      <c r="M288" s="268" t="s">
        <v>3112</v>
      </c>
      <c r="N288" s="292" t="s">
        <v>1910</v>
      </c>
      <c r="O288" s="270" t="s">
        <v>1268</v>
      </c>
      <c r="P288" s="295">
        <v>10500</v>
      </c>
      <c r="Q288" s="295">
        <v>3943</v>
      </c>
      <c r="R288" s="307">
        <v>0.4</v>
      </c>
    </row>
    <row r="289" spans="12:18" ht="18" customHeight="1">
      <c r="L289" s="267" t="s">
        <v>3114</v>
      </c>
      <c r="M289" s="268" t="s">
        <v>3112</v>
      </c>
      <c r="N289" s="292" t="s">
        <v>3115</v>
      </c>
      <c r="O289" s="270" t="s">
        <v>1268</v>
      </c>
      <c r="P289" s="295">
        <v>8230</v>
      </c>
      <c r="Q289" s="295">
        <v>2876</v>
      </c>
      <c r="R289" s="307">
        <v>0.3</v>
      </c>
    </row>
    <row r="290" spans="12:18" ht="18" customHeight="1">
      <c r="L290" s="267" t="s">
        <v>3116</v>
      </c>
      <c r="M290" s="268" t="s">
        <v>3112</v>
      </c>
      <c r="N290" s="292" t="s">
        <v>3117</v>
      </c>
      <c r="O290" s="270" t="s">
        <v>1268</v>
      </c>
      <c r="P290" s="295">
        <v>16100</v>
      </c>
      <c r="Q290" s="295">
        <v>4819</v>
      </c>
      <c r="R290" s="307">
        <v>0.4</v>
      </c>
    </row>
    <row r="291" spans="12:18" ht="18" customHeight="1">
      <c r="L291" s="273" t="s">
        <v>3118</v>
      </c>
      <c r="M291" s="274" t="s">
        <v>3119</v>
      </c>
      <c r="N291" s="293" t="s">
        <v>3120</v>
      </c>
      <c r="O291" s="276" t="s">
        <v>1268</v>
      </c>
      <c r="P291" s="296">
        <v>19800</v>
      </c>
      <c r="Q291" s="296">
        <v>7368</v>
      </c>
      <c r="R291" s="305">
        <v>0.5</v>
      </c>
    </row>
    <row r="292" spans="12:18" ht="18" customHeight="1">
      <c r="L292" s="261" t="s">
        <v>3121</v>
      </c>
      <c r="M292" s="279" t="s">
        <v>676</v>
      </c>
      <c r="N292" s="291" t="s">
        <v>677</v>
      </c>
      <c r="O292" s="281" t="s">
        <v>678</v>
      </c>
      <c r="P292" s="294">
        <v>18100</v>
      </c>
      <c r="Q292" s="294">
        <v>2744</v>
      </c>
      <c r="R292" s="306">
        <v>0.1</v>
      </c>
    </row>
    <row r="293" spans="12:18" ht="18" customHeight="1">
      <c r="L293" s="267"/>
      <c r="M293" s="268" t="s">
        <v>708</v>
      </c>
      <c r="N293" s="292" t="s">
        <v>709</v>
      </c>
      <c r="O293" s="270" t="s">
        <v>710</v>
      </c>
      <c r="P293" s="295">
        <v>88000</v>
      </c>
      <c r="Q293" s="295">
        <v>44000</v>
      </c>
      <c r="R293" s="307">
        <v>0.1</v>
      </c>
    </row>
    <row r="294" spans="12:18" ht="18" customHeight="1">
      <c r="L294" s="267"/>
      <c r="M294" s="268" t="s">
        <v>744</v>
      </c>
      <c r="N294" s="292" t="s">
        <v>745</v>
      </c>
      <c r="O294" s="270" t="s">
        <v>746</v>
      </c>
      <c r="P294" s="295">
        <v>7380</v>
      </c>
      <c r="Q294" s="295">
        <v>1950</v>
      </c>
      <c r="R294" s="307">
        <v>0.2</v>
      </c>
    </row>
    <row r="295" spans="12:18" ht="18" customHeight="1">
      <c r="L295" s="267"/>
      <c r="M295" s="268" t="s">
        <v>744</v>
      </c>
      <c r="N295" s="292" t="s">
        <v>779</v>
      </c>
      <c r="O295" s="270" t="s">
        <v>746</v>
      </c>
      <c r="P295" s="295">
        <v>55000</v>
      </c>
      <c r="Q295" s="295">
        <v>30000</v>
      </c>
      <c r="R295" s="307">
        <v>0.3</v>
      </c>
    </row>
    <row r="296" spans="12:18" ht="18" customHeight="1">
      <c r="L296" s="267"/>
      <c r="M296" s="268" t="s">
        <v>813</v>
      </c>
      <c r="N296" s="292" t="s">
        <v>3122</v>
      </c>
      <c r="O296" s="270" t="s">
        <v>53</v>
      </c>
      <c r="P296" s="295">
        <v>4500</v>
      </c>
      <c r="Q296" s="295">
        <v>3000</v>
      </c>
      <c r="R296" s="307">
        <v>0.5</v>
      </c>
    </row>
    <row r="297" spans="12:18" ht="18" customHeight="1">
      <c r="L297" s="267"/>
      <c r="M297" s="268" t="s">
        <v>841</v>
      </c>
      <c r="N297" s="292" t="s">
        <v>3123</v>
      </c>
      <c r="O297" s="270" t="s">
        <v>843</v>
      </c>
      <c r="P297" s="295">
        <v>25000</v>
      </c>
      <c r="Q297" s="295">
        <v>10000</v>
      </c>
      <c r="R297" s="307">
        <v>0.5</v>
      </c>
    </row>
    <row r="298" spans="12:18" ht="18" customHeight="1">
      <c r="L298" s="273" t="s">
        <v>3124</v>
      </c>
      <c r="M298" s="274" t="s">
        <v>869</v>
      </c>
      <c r="N298" s="293" t="s">
        <v>3125</v>
      </c>
      <c r="O298" s="276" t="s">
        <v>746</v>
      </c>
      <c r="P298" s="296">
        <v>2610</v>
      </c>
      <c r="Q298" s="296">
        <v>784</v>
      </c>
      <c r="R298" s="305">
        <v>0.1</v>
      </c>
    </row>
    <row r="299" spans="12:18" ht="18" customHeight="1">
      <c r="L299" s="261" t="s">
        <v>3126</v>
      </c>
      <c r="M299" s="279" t="s">
        <v>266</v>
      </c>
      <c r="N299" s="291" t="s">
        <v>3127</v>
      </c>
      <c r="O299" s="281" t="s">
        <v>69</v>
      </c>
      <c r="P299" s="294">
        <v>170000</v>
      </c>
      <c r="Q299" s="294">
        <v>73100</v>
      </c>
      <c r="R299" s="283">
        <v>0.5</v>
      </c>
    </row>
    <row r="300" spans="12:18" ht="18" customHeight="1">
      <c r="L300" s="267" t="s">
        <v>3128</v>
      </c>
      <c r="M300" s="268" t="s">
        <v>266</v>
      </c>
      <c r="N300" s="292" t="s">
        <v>3129</v>
      </c>
      <c r="O300" s="270" t="s">
        <v>69</v>
      </c>
      <c r="P300" s="295">
        <v>220000</v>
      </c>
      <c r="Q300" s="295">
        <v>94600</v>
      </c>
      <c r="R300" s="272">
        <v>0.6</v>
      </c>
    </row>
    <row r="301" spans="12:18" ht="18" customHeight="1">
      <c r="L301" s="267" t="s">
        <v>3130</v>
      </c>
      <c r="M301" s="268" t="s">
        <v>266</v>
      </c>
      <c r="N301" s="292" t="s">
        <v>3131</v>
      </c>
      <c r="O301" s="270" t="s">
        <v>69</v>
      </c>
      <c r="P301" s="295">
        <v>290000</v>
      </c>
      <c r="Q301" s="295">
        <v>124700</v>
      </c>
      <c r="R301" s="272">
        <v>0.7</v>
      </c>
    </row>
    <row r="302" spans="12:18" ht="18" customHeight="1">
      <c r="L302" s="267" t="s">
        <v>3132</v>
      </c>
      <c r="M302" s="268" t="s">
        <v>266</v>
      </c>
      <c r="N302" s="292" t="s">
        <v>3133</v>
      </c>
      <c r="O302" s="270" t="s">
        <v>69</v>
      </c>
      <c r="P302" s="295">
        <v>410000</v>
      </c>
      <c r="Q302" s="295">
        <v>176300</v>
      </c>
      <c r="R302" s="272">
        <v>0.8</v>
      </c>
    </row>
    <row r="303" spans="12:18" ht="18" customHeight="1">
      <c r="L303" s="267" t="s">
        <v>3134</v>
      </c>
      <c r="M303" s="268" t="s">
        <v>266</v>
      </c>
      <c r="N303" s="292" t="s">
        <v>3135</v>
      </c>
      <c r="O303" s="270" t="s">
        <v>69</v>
      </c>
      <c r="P303" s="295">
        <v>510000</v>
      </c>
      <c r="Q303" s="295">
        <v>219300</v>
      </c>
      <c r="R303" s="272">
        <v>1</v>
      </c>
    </row>
    <row r="304" spans="12:18" ht="18" customHeight="1">
      <c r="L304" s="267" t="s">
        <v>3136</v>
      </c>
      <c r="M304" s="268" t="s">
        <v>266</v>
      </c>
      <c r="N304" s="292" t="s">
        <v>3137</v>
      </c>
      <c r="O304" s="270" t="s">
        <v>69</v>
      </c>
      <c r="P304" s="295">
        <v>770000</v>
      </c>
      <c r="Q304" s="295">
        <v>331100</v>
      </c>
      <c r="R304" s="272">
        <v>1</v>
      </c>
    </row>
    <row r="305" spans="12:18" ht="18" customHeight="1">
      <c r="L305" s="267" t="s">
        <v>3138</v>
      </c>
      <c r="M305" s="268" t="s">
        <v>266</v>
      </c>
      <c r="N305" s="292" t="s">
        <v>3139</v>
      </c>
      <c r="O305" s="270" t="s">
        <v>69</v>
      </c>
      <c r="P305" s="295">
        <v>940000</v>
      </c>
      <c r="Q305" s="295">
        <v>404200</v>
      </c>
      <c r="R305" s="272">
        <v>1</v>
      </c>
    </row>
    <row r="306" spans="12:18" ht="18" customHeight="1">
      <c r="L306" s="267" t="s">
        <v>3140</v>
      </c>
      <c r="M306" s="268" t="s">
        <v>266</v>
      </c>
      <c r="N306" s="292" t="s">
        <v>3141</v>
      </c>
      <c r="O306" s="270" t="s">
        <v>69</v>
      </c>
      <c r="P306" s="295">
        <v>280000</v>
      </c>
      <c r="Q306" s="295">
        <v>120400</v>
      </c>
      <c r="R306" s="272">
        <v>0.5</v>
      </c>
    </row>
    <row r="307" spans="12:18" ht="18" customHeight="1">
      <c r="L307" s="267" t="s">
        <v>3142</v>
      </c>
      <c r="M307" s="268" t="s">
        <v>266</v>
      </c>
      <c r="N307" s="292" t="s">
        <v>3143</v>
      </c>
      <c r="O307" s="270" t="s">
        <v>69</v>
      </c>
      <c r="P307" s="295">
        <v>480000</v>
      </c>
      <c r="Q307" s="295">
        <v>206400</v>
      </c>
      <c r="R307" s="272">
        <v>0.6</v>
      </c>
    </row>
    <row r="308" spans="12:18" ht="18" customHeight="1">
      <c r="L308" s="267" t="s">
        <v>3144</v>
      </c>
      <c r="M308" s="268" t="s">
        <v>266</v>
      </c>
      <c r="N308" s="292" t="s">
        <v>3145</v>
      </c>
      <c r="O308" s="270" t="s">
        <v>69</v>
      </c>
      <c r="P308" s="295">
        <v>690000</v>
      </c>
      <c r="Q308" s="295">
        <v>296700</v>
      </c>
      <c r="R308" s="272">
        <v>0.7</v>
      </c>
    </row>
    <row r="309" spans="12:18" ht="18" customHeight="1">
      <c r="L309" s="267" t="s">
        <v>3146</v>
      </c>
      <c r="M309" s="268" t="s">
        <v>266</v>
      </c>
      <c r="N309" s="292" t="s">
        <v>3147</v>
      </c>
      <c r="O309" s="270" t="s">
        <v>69</v>
      </c>
      <c r="P309" s="295">
        <v>1150000</v>
      </c>
      <c r="Q309" s="295">
        <v>494500</v>
      </c>
      <c r="R309" s="272">
        <v>0.8</v>
      </c>
    </row>
    <row r="310" spans="12:18" ht="18" customHeight="1">
      <c r="L310" s="267" t="s">
        <v>3148</v>
      </c>
      <c r="M310" s="268" t="s">
        <v>266</v>
      </c>
      <c r="N310" s="292" t="s">
        <v>3149</v>
      </c>
      <c r="O310" s="270" t="s">
        <v>69</v>
      </c>
      <c r="P310" s="295">
        <v>1480000</v>
      </c>
      <c r="Q310" s="295">
        <v>636400</v>
      </c>
      <c r="R310" s="272">
        <v>1</v>
      </c>
    </row>
    <row r="311" spans="12:18" ht="18" customHeight="1">
      <c r="L311" s="267" t="s">
        <v>3150</v>
      </c>
      <c r="M311" s="268" t="s">
        <v>266</v>
      </c>
      <c r="N311" s="292" t="s">
        <v>3151</v>
      </c>
      <c r="O311" s="270" t="s">
        <v>69</v>
      </c>
      <c r="P311" s="295">
        <v>1940000</v>
      </c>
      <c r="Q311" s="295">
        <v>834200</v>
      </c>
      <c r="R311" s="272">
        <v>1</v>
      </c>
    </row>
    <row r="312" spans="12:18" ht="18" customHeight="1">
      <c r="L312" s="267" t="s">
        <v>3152</v>
      </c>
      <c r="M312" s="268" t="s">
        <v>266</v>
      </c>
      <c r="N312" s="292" t="s">
        <v>3153</v>
      </c>
      <c r="O312" s="270" t="s">
        <v>69</v>
      </c>
      <c r="P312" s="295">
        <v>270000</v>
      </c>
      <c r="Q312" s="295">
        <v>116100</v>
      </c>
      <c r="R312" s="272">
        <v>1</v>
      </c>
    </row>
    <row r="313" spans="12:18" ht="18" customHeight="1">
      <c r="L313" s="267" t="s">
        <v>3154</v>
      </c>
      <c r="M313" s="268" t="s">
        <v>266</v>
      </c>
      <c r="N313" s="292" t="s">
        <v>3155</v>
      </c>
      <c r="O313" s="270" t="s">
        <v>69</v>
      </c>
      <c r="P313" s="295">
        <v>340000</v>
      </c>
      <c r="Q313" s="295">
        <v>146200</v>
      </c>
      <c r="R313" s="272">
        <v>1</v>
      </c>
    </row>
    <row r="314" spans="12:18" ht="18" customHeight="1">
      <c r="L314" s="267" t="s">
        <v>3156</v>
      </c>
      <c r="M314" s="268" t="s">
        <v>266</v>
      </c>
      <c r="N314" s="292" t="s">
        <v>3157</v>
      </c>
      <c r="O314" s="270" t="s">
        <v>69</v>
      </c>
      <c r="P314" s="295">
        <v>470000</v>
      </c>
      <c r="Q314" s="295">
        <v>202100</v>
      </c>
      <c r="R314" s="272">
        <v>1.2</v>
      </c>
    </row>
    <row r="315" spans="12:18" ht="18" customHeight="1">
      <c r="L315" s="267" t="s">
        <v>3158</v>
      </c>
      <c r="M315" s="268" t="s">
        <v>266</v>
      </c>
      <c r="N315" s="292" t="s">
        <v>3159</v>
      </c>
      <c r="O315" s="270" t="s">
        <v>69</v>
      </c>
      <c r="P315" s="295">
        <v>640000</v>
      </c>
      <c r="Q315" s="295">
        <v>275200</v>
      </c>
      <c r="R315" s="272">
        <v>1.5</v>
      </c>
    </row>
    <row r="316" spans="12:18" ht="18" customHeight="1">
      <c r="L316" s="273" t="s">
        <v>3160</v>
      </c>
      <c r="M316" s="274" t="s">
        <v>266</v>
      </c>
      <c r="N316" s="293" t="s">
        <v>3161</v>
      </c>
      <c r="O316" s="276" t="s">
        <v>69</v>
      </c>
      <c r="P316" s="296">
        <v>780000</v>
      </c>
      <c r="Q316" s="296">
        <v>335400</v>
      </c>
      <c r="R316" s="278">
        <v>1.75</v>
      </c>
    </row>
    <row r="317" spans="12:18" ht="18" customHeight="1">
      <c r="L317" s="312" t="s">
        <v>3162</v>
      </c>
      <c r="M317" s="279" t="s">
        <v>3163</v>
      </c>
      <c r="N317" s="313" t="s">
        <v>3164</v>
      </c>
      <c r="O317" s="281" t="s">
        <v>741</v>
      </c>
      <c r="P317" s="294">
        <v>156000</v>
      </c>
      <c r="Q317" s="294">
        <v>58700</v>
      </c>
      <c r="R317" s="306">
        <v>0</v>
      </c>
    </row>
    <row r="318" spans="12:18" ht="18" customHeight="1">
      <c r="L318" s="267" t="s">
        <v>3165</v>
      </c>
      <c r="M318" s="268" t="s">
        <v>3163</v>
      </c>
      <c r="N318" s="314" t="s">
        <v>3166</v>
      </c>
      <c r="O318" s="270" t="s">
        <v>741</v>
      </c>
      <c r="P318" s="295">
        <v>208000</v>
      </c>
      <c r="Q318" s="295">
        <v>61100</v>
      </c>
      <c r="R318" s="307">
        <v>0</v>
      </c>
    </row>
    <row r="319" spans="12:18" ht="18" customHeight="1">
      <c r="L319" s="267" t="s">
        <v>3167</v>
      </c>
      <c r="M319" s="268" t="s">
        <v>3163</v>
      </c>
      <c r="N319" s="314" t="s">
        <v>3168</v>
      </c>
      <c r="O319" s="270" t="s">
        <v>741</v>
      </c>
      <c r="P319" s="295">
        <v>221000</v>
      </c>
      <c r="Q319" s="295">
        <v>118800</v>
      </c>
      <c r="R319" s="307">
        <v>0</v>
      </c>
    </row>
    <row r="320" spans="12:18" ht="18" customHeight="1">
      <c r="L320" s="267" t="s">
        <v>3169</v>
      </c>
      <c r="M320" s="268" t="s">
        <v>3163</v>
      </c>
      <c r="N320" s="314" t="s">
        <v>3170</v>
      </c>
      <c r="O320" s="270" t="s">
        <v>741</v>
      </c>
      <c r="P320" s="295">
        <v>336000</v>
      </c>
      <c r="Q320" s="295">
        <v>121200</v>
      </c>
      <c r="R320" s="307">
        <v>0</v>
      </c>
    </row>
    <row r="321" spans="12:18" ht="18" customHeight="1">
      <c r="L321" s="267" t="s">
        <v>3171</v>
      </c>
      <c r="M321" s="268" t="s">
        <v>3163</v>
      </c>
      <c r="N321" s="314" t="s">
        <v>3172</v>
      </c>
      <c r="O321" s="270" t="s">
        <v>741</v>
      </c>
      <c r="P321" s="295">
        <v>636000</v>
      </c>
      <c r="Q321" s="295">
        <v>309000</v>
      </c>
      <c r="R321" s="307">
        <v>0</v>
      </c>
    </row>
    <row r="322" spans="12:18" ht="18" customHeight="1">
      <c r="L322" s="273" t="s">
        <v>3173</v>
      </c>
      <c r="M322" s="274" t="s">
        <v>3163</v>
      </c>
      <c r="N322" s="289" t="s">
        <v>3174</v>
      </c>
      <c r="O322" s="276" t="s">
        <v>741</v>
      </c>
      <c r="P322" s="296">
        <v>751000</v>
      </c>
      <c r="Q322" s="296">
        <v>326200</v>
      </c>
      <c r="R322" s="305">
        <v>0</v>
      </c>
    </row>
    <row r="323" spans="12:18" ht="18" customHeight="1">
      <c r="L323" s="261" t="s">
        <v>3175</v>
      </c>
      <c r="M323" s="279" t="s">
        <v>3176</v>
      </c>
      <c r="N323" s="313" t="s">
        <v>3177</v>
      </c>
      <c r="O323" s="281" t="s">
        <v>1824</v>
      </c>
      <c r="P323" s="294">
        <v>74200</v>
      </c>
      <c r="Q323" s="294">
        <v>23902</v>
      </c>
      <c r="R323" s="306">
        <v>0</v>
      </c>
    </row>
    <row r="324" spans="12:18" ht="18" customHeight="1">
      <c r="L324" s="267" t="s">
        <v>3178</v>
      </c>
      <c r="M324" s="268" t="s">
        <v>3179</v>
      </c>
      <c r="N324" s="314" t="s">
        <v>3180</v>
      </c>
      <c r="O324" s="270" t="s">
        <v>1824</v>
      </c>
      <c r="P324" s="295">
        <v>11700</v>
      </c>
      <c r="Q324" s="295">
        <v>1699</v>
      </c>
      <c r="R324" s="307">
        <v>0</v>
      </c>
    </row>
    <row r="325" spans="12:18" ht="18" customHeight="1">
      <c r="L325" s="267" t="s">
        <v>3181</v>
      </c>
      <c r="M325" s="268" t="s">
        <v>1614</v>
      </c>
      <c r="N325" s="314" t="s">
        <v>3182</v>
      </c>
      <c r="O325" s="270" t="s">
        <v>1824</v>
      </c>
      <c r="P325" s="295">
        <v>17500</v>
      </c>
      <c r="Q325" s="295">
        <v>6027</v>
      </c>
      <c r="R325" s="307">
        <v>0</v>
      </c>
    </row>
    <row r="326" spans="12:18" ht="18" customHeight="1">
      <c r="L326" s="267" t="s">
        <v>3183</v>
      </c>
      <c r="M326" s="268" t="s">
        <v>3184</v>
      </c>
      <c r="N326" s="314" t="s">
        <v>3185</v>
      </c>
      <c r="O326" s="270" t="s">
        <v>1268</v>
      </c>
      <c r="P326" s="295">
        <v>465000</v>
      </c>
      <c r="Q326" s="295">
        <v>144000</v>
      </c>
      <c r="R326" s="307">
        <v>0</v>
      </c>
    </row>
    <row r="327" spans="12:18" ht="18" customHeight="1">
      <c r="L327" s="267" t="s">
        <v>3186</v>
      </c>
      <c r="M327" s="268" t="s">
        <v>1703</v>
      </c>
      <c r="N327" s="314" t="s">
        <v>3187</v>
      </c>
      <c r="O327" s="270" t="s">
        <v>1268</v>
      </c>
      <c r="P327" s="295">
        <v>276000</v>
      </c>
      <c r="Q327" s="295">
        <v>104000</v>
      </c>
      <c r="R327" s="307">
        <v>0</v>
      </c>
    </row>
    <row r="328" spans="12:18" ht="18" customHeight="1">
      <c r="L328" s="267" t="s">
        <v>3188</v>
      </c>
      <c r="M328" s="268" t="s">
        <v>1707</v>
      </c>
      <c r="N328" s="314" t="s">
        <v>3189</v>
      </c>
      <c r="O328" s="270" t="s">
        <v>1268</v>
      </c>
      <c r="P328" s="295">
        <v>66000</v>
      </c>
      <c r="Q328" s="295">
        <v>13957</v>
      </c>
      <c r="R328" s="307">
        <v>0</v>
      </c>
    </row>
    <row r="329" spans="12:18" ht="18" customHeight="1">
      <c r="L329" s="267" t="s">
        <v>3190</v>
      </c>
      <c r="M329" s="268" t="s">
        <v>1710</v>
      </c>
      <c r="N329" s="314" t="s">
        <v>3191</v>
      </c>
      <c r="O329" s="270" t="s">
        <v>1268</v>
      </c>
      <c r="P329" s="295">
        <v>244000</v>
      </c>
      <c r="Q329" s="295">
        <v>90000</v>
      </c>
      <c r="R329" s="307">
        <v>0</v>
      </c>
    </row>
    <row r="330" spans="12:18" ht="18" customHeight="1">
      <c r="L330" s="267"/>
      <c r="M330" s="268" t="s">
        <v>3192</v>
      </c>
      <c r="N330" s="314" t="s">
        <v>3193</v>
      </c>
      <c r="O330" s="270" t="s">
        <v>1268</v>
      </c>
      <c r="P330" s="295">
        <v>376000</v>
      </c>
      <c r="Q330" s="295">
        <v>200000</v>
      </c>
      <c r="R330" s="307">
        <v>0</v>
      </c>
    </row>
    <row r="331" spans="12:18" ht="18" customHeight="1">
      <c r="L331" s="273" t="s">
        <v>3194</v>
      </c>
      <c r="M331" s="274" t="s">
        <v>3195</v>
      </c>
      <c r="N331" s="289" t="s">
        <v>3196</v>
      </c>
      <c r="O331" s="276" t="s">
        <v>3197</v>
      </c>
      <c r="P331" s="296">
        <v>36000</v>
      </c>
      <c r="Q331" s="296">
        <v>10071</v>
      </c>
      <c r="R331" s="305">
        <v>0</v>
      </c>
    </row>
    <row r="332" spans="12:18" ht="18" customHeight="1">
      <c r="L332" s="261" t="s">
        <v>3198</v>
      </c>
      <c r="M332" s="279" t="s">
        <v>3199</v>
      </c>
      <c r="N332" s="313" t="s">
        <v>3200</v>
      </c>
      <c r="O332" s="281" t="s">
        <v>286</v>
      </c>
      <c r="P332" s="294">
        <v>161000</v>
      </c>
      <c r="Q332" s="294">
        <v>42000</v>
      </c>
      <c r="R332" s="306">
        <v>0</v>
      </c>
    </row>
    <row r="333" spans="12:18" ht="18" customHeight="1">
      <c r="L333" s="267"/>
      <c r="M333" s="268" t="s">
        <v>3201</v>
      </c>
      <c r="N333" s="314" t="s">
        <v>3202</v>
      </c>
      <c r="O333" s="270" t="s">
        <v>286</v>
      </c>
      <c r="P333" s="295">
        <v>187000</v>
      </c>
      <c r="Q333" s="295">
        <v>42000</v>
      </c>
      <c r="R333" s="307">
        <v>0</v>
      </c>
    </row>
    <row r="334" spans="12:18" ht="18" customHeight="1">
      <c r="L334" s="267"/>
      <c r="M334" s="268" t="s">
        <v>3203</v>
      </c>
      <c r="N334" s="314" t="s">
        <v>3204</v>
      </c>
      <c r="O334" s="270" t="s">
        <v>286</v>
      </c>
      <c r="P334" s="295">
        <v>273000</v>
      </c>
      <c r="Q334" s="295">
        <v>78000</v>
      </c>
      <c r="R334" s="307">
        <v>0</v>
      </c>
    </row>
    <row r="335" spans="12:18" ht="18" customHeight="1">
      <c r="L335" s="267" t="s">
        <v>3205</v>
      </c>
      <c r="M335" s="268" t="s">
        <v>3206</v>
      </c>
      <c r="N335" s="314" t="s">
        <v>3207</v>
      </c>
      <c r="O335" s="270" t="s">
        <v>1821</v>
      </c>
      <c r="P335" s="295">
        <v>16000</v>
      </c>
      <c r="Q335" s="295">
        <v>10500</v>
      </c>
      <c r="R335" s="307">
        <v>0</v>
      </c>
    </row>
    <row r="336" spans="12:18" ht="18" customHeight="1">
      <c r="L336" s="267" t="s">
        <v>3208</v>
      </c>
      <c r="M336" s="268" t="s">
        <v>3209</v>
      </c>
      <c r="N336" s="314" t="s">
        <v>3210</v>
      </c>
      <c r="O336" s="270" t="s">
        <v>1824</v>
      </c>
      <c r="P336" s="295">
        <v>67000</v>
      </c>
      <c r="Q336" s="295">
        <v>28000</v>
      </c>
      <c r="R336" s="307">
        <v>0</v>
      </c>
    </row>
    <row r="337" spans="12:18" ht="18" customHeight="1">
      <c r="L337" s="273" t="s">
        <v>3211</v>
      </c>
      <c r="M337" s="274" t="s">
        <v>3212</v>
      </c>
      <c r="N337" s="289" t="s">
        <v>3213</v>
      </c>
      <c r="O337" s="276" t="s">
        <v>1824</v>
      </c>
      <c r="P337" s="296">
        <v>58000</v>
      </c>
      <c r="Q337" s="296">
        <v>25000</v>
      </c>
      <c r="R337" s="305">
        <v>0</v>
      </c>
    </row>
    <row r="338" spans="12:18" ht="18" customHeight="1">
      <c r="L338" s="261"/>
      <c r="M338" s="279" t="s">
        <v>3214</v>
      </c>
      <c r="N338" s="313" t="s">
        <v>3215</v>
      </c>
      <c r="O338" s="281" t="s">
        <v>49</v>
      </c>
      <c r="P338" s="294">
        <v>315000</v>
      </c>
      <c r="Q338" s="294">
        <v>150000</v>
      </c>
      <c r="R338" s="306">
        <v>0</v>
      </c>
    </row>
    <row r="339" spans="12:18" ht="18" customHeight="1">
      <c r="L339" s="267"/>
      <c r="M339" s="268" t="s">
        <v>3216</v>
      </c>
      <c r="N339" s="314"/>
      <c r="O339" s="270" t="s">
        <v>741</v>
      </c>
      <c r="P339" s="295">
        <v>450000</v>
      </c>
      <c r="Q339" s="295">
        <v>200000</v>
      </c>
      <c r="R339" s="307">
        <v>0.4</v>
      </c>
    </row>
    <row r="340" spans="12:18" ht="18" customHeight="1">
      <c r="L340" s="267"/>
      <c r="M340" s="268" t="s">
        <v>3216</v>
      </c>
      <c r="N340" s="314"/>
      <c r="O340" s="270" t="s">
        <v>741</v>
      </c>
      <c r="P340" s="295">
        <v>550000</v>
      </c>
      <c r="Q340" s="295">
        <v>250000</v>
      </c>
      <c r="R340" s="307">
        <v>0.4</v>
      </c>
    </row>
    <row r="341" spans="12:18" ht="18" customHeight="1">
      <c r="L341" s="267"/>
      <c r="M341" s="268" t="s">
        <v>3217</v>
      </c>
      <c r="N341" s="314" t="s">
        <v>3218</v>
      </c>
      <c r="O341" s="270" t="s">
        <v>1268</v>
      </c>
      <c r="P341" s="295">
        <v>548000</v>
      </c>
      <c r="Q341" s="295">
        <v>441000</v>
      </c>
      <c r="R341" s="307">
        <v>0.4</v>
      </c>
    </row>
    <row r="342" spans="12:18" ht="18" customHeight="1">
      <c r="L342" s="273"/>
      <c r="M342" s="274" t="s">
        <v>3219</v>
      </c>
      <c r="N342" s="289" t="s">
        <v>3220</v>
      </c>
      <c r="O342" s="276" t="s">
        <v>1268</v>
      </c>
      <c r="P342" s="296">
        <v>521000</v>
      </c>
      <c r="Q342" s="296">
        <v>412000</v>
      </c>
      <c r="R342" s="305">
        <v>0.4</v>
      </c>
    </row>
    <row r="343" spans="12:18" ht="18" customHeight="1">
      <c r="L343" s="267" t="s">
        <v>3221</v>
      </c>
      <c r="M343" s="279" t="s">
        <v>3222</v>
      </c>
      <c r="N343" s="313" t="s">
        <v>3223</v>
      </c>
      <c r="O343" s="281" t="s">
        <v>73</v>
      </c>
      <c r="P343" s="294">
        <v>59000</v>
      </c>
      <c r="Q343" s="294">
        <v>19790</v>
      </c>
      <c r="R343" s="306">
        <v>0</v>
      </c>
    </row>
    <row r="344" spans="12:18" ht="18" customHeight="1">
      <c r="L344" s="267" t="s">
        <v>3224</v>
      </c>
      <c r="M344" s="268" t="s">
        <v>3222</v>
      </c>
      <c r="N344" s="314" t="s">
        <v>3225</v>
      </c>
      <c r="O344" s="270" t="s">
        <v>73</v>
      </c>
      <c r="P344" s="295">
        <v>63000</v>
      </c>
      <c r="Q344" s="295">
        <v>25530</v>
      </c>
      <c r="R344" s="307">
        <v>0</v>
      </c>
    </row>
    <row r="345" spans="12:18" ht="18" customHeight="1">
      <c r="L345" s="267" t="s">
        <v>3226</v>
      </c>
      <c r="M345" s="268" t="s">
        <v>3227</v>
      </c>
      <c r="N345" s="314" t="s">
        <v>3228</v>
      </c>
      <c r="O345" s="270" t="s">
        <v>73</v>
      </c>
      <c r="P345" s="295">
        <v>134000</v>
      </c>
      <c r="Q345" s="295">
        <v>55740</v>
      </c>
      <c r="R345" s="307">
        <v>0</v>
      </c>
    </row>
    <row r="346" spans="12:18" ht="18" customHeight="1">
      <c r="L346" s="273" t="s">
        <v>3229</v>
      </c>
      <c r="M346" s="268" t="s">
        <v>3227</v>
      </c>
      <c r="N346" s="314" t="s">
        <v>3230</v>
      </c>
      <c r="O346" s="270" t="s">
        <v>73</v>
      </c>
      <c r="P346" s="295">
        <v>189000</v>
      </c>
      <c r="Q346" s="295">
        <v>80000</v>
      </c>
      <c r="R346" s="307">
        <v>0</v>
      </c>
    </row>
    <row r="347" spans="12:18" ht="18" customHeight="1">
      <c r="L347" s="261" t="s">
        <v>3231</v>
      </c>
      <c r="M347" s="279" t="s">
        <v>3232</v>
      </c>
      <c r="N347" s="313" t="s">
        <v>3233</v>
      </c>
      <c r="O347" s="281" t="s">
        <v>73</v>
      </c>
      <c r="P347" s="294">
        <v>49000</v>
      </c>
      <c r="Q347" s="294">
        <v>19300</v>
      </c>
      <c r="R347" s="306">
        <v>0</v>
      </c>
    </row>
    <row r="348" spans="12:18" ht="18" customHeight="1">
      <c r="L348" s="267" t="s">
        <v>3234</v>
      </c>
      <c r="M348" s="268" t="s">
        <v>3232</v>
      </c>
      <c r="N348" s="314" t="s">
        <v>3235</v>
      </c>
      <c r="O348" s="270" t="s">
        <v>73</v>
      </c>
      <c r="P348" s="295">
        <v>50000</v>
      </c>
      <c r="Q348" s="295">
        <v>19760</v>
      </c>
      <c r="R348" s="307">
        <v>0</v>
      </c>
    </row>
    <row r="349" spans="12:18" ht="18" customHeight="1">
      <c r="L349" s="267" t="s">
        <v>3236</v>
      </c>
      <c r="M349" s="268" t="s">
        <v>3232</v>
      </c>
      <c r="N349" s="314" t="s">
        <v>3237</v>
      </c>
      <c r="O349" s="270" t="s">
        <v>73</v>
      </c>
      <c r="P349" s="295">
        <v>50000</v>
      </c>
      <c r="Q349" s="295">
        <v>20500</v>
      </c>
      <c r="R349" s="307">
        <v>0</v>
      </c>
    </row>
    <row r="350" spans="12:18" ht="18" customHeight="1">
      <c r="L350" s="267" t="s">
        <v>3238</v>
      </c>
      <c r="M350" s="268" t="s">
        <v>3239</v>
      </c>
      <c r="N350" s="314" t="s">
        <v>3240</v>
      </c>
      <c r="O350" s="270" t="s">
        <v>73</v>
      </c>
      <c r="P350" s="295">
        <v>55000</v>
      </c>
      <c r="Q350" s="295">
        <v>17000</v>
      </c>
      <c r="R350" s="307">
        <v>0</v>
      </c>
    </row>
    <row r="351" spans="12:18" ht="18" customHeight="1">
      <c r="L351" s="267" t="s">
        <v>3241</v>
      </c>
      <c r="M351" s="268" t="s">
        <v>3242</v>
      </c>
      <c r="N351" s="314" t="s">
        <v>3243</v>
      </c>
      <c r="O351" s="270" t="s">
        <v>73</v>
      </c>
      <c r="P351" s="295">
        <v>75000</v>
      </c>
      <c r="Q351" s="295">
        <v>20830</v>
      </c>
      <c r="R351" s="307">
        <v>0</v>
      </c>
    </row>
    <row r="352" spans="12:18" ht="18" customHeight="1">
      <c r="L352" s="273" t="s">
        <v>3244</v>
      </c>
      <c r="M352" s="274" t="s">
        <v>3242</v>
      </c>
      <c r="N352" s="289" t="s">
        <v>3245</v>
      </c>
      <c r="O352" s="276" t="s">
        <v>73</v>
      </c>
      <c r="P352" s="296">
        <v>97000</v>
      </c>
      <c r="Q352" s="296">
        <v>29760</v>
      </c>
      <c r="R352" s="305">
        <v>0</v>
      </c>
    </row>
    <row r="353" spans="12:18" ht="18" customHeight="1">
      <c r="L353" s="261" t="s">
        <v>3246</v>
      </c>
      <c r="M353" s="279" t="s">
        <v>3247</v>
      </c>
      <c r="N353" s="313" t="s">
        <v>3248</v>
      </c>
      <c r="O353" s="281" t="s">
        <v>73</v>
      </c>
      <c r="P353" s="294">
        <v>47000</v>
      </c>
      <c r="Q353" s="294">
        <v>24300</v>
      </c>
      <c r="R353" s="306">
        <v>0</v>
      </c>
    </row>
    <row r="354" spans="12:18" ht="18" customHeight="1">
      <c r="L354" s="273" t="s">
        <v>3249</v>
      </c>
      <c r="M354" s="268" t="s">
        <v>3247</v>
      </c>
      <c r="N354" s="314" t="s">
        <v>3250</v>
      </c>
      <c r="O354" s="270" t="s">
        <v>73</v>
      </c>
      <c r="P354" s="295">
        <v>113000</v>
      </c>
      <c r="Q354" s="295">
        <v>41458</v>
      </c>
      <c r="R354" s="307">
        <v>0</v>
      </c>
    </row>
    <row r="355" spans="12:18" ht="18" customHeight="1">
      <c r="L355" s="261" t="s">
        <v>3251</v>
      </c>
      <c r="M355" s="279" t="s">
        <v>3252</v>
      </c>
      <c r="N355" s="313" t="s">
        <v>3253</v>
      </c>
      <c r="O355" s="281" t="s">
        <v>73</v>
      </c>
      <c r="P355" s="294">
        <v>210000</v>
      </c>
      <c r="Q355" s="294">
        <v>101300</v>
      </c>
      <c r="R355" s="306">
        <v>0</v>
      </c>
    </row>
    <row r="356" spans="12:18" ht="18" customHeight="1">
      <c r="L356" s="267" t="s">
        <v>3254</v>
      </c>
      <c r="M356" s="268" t="s">
        <v>3252</v>
      </c>
      <c r="N356" s="314" t="s">
        <v>3255</v>
      </c>
      <c r="O356" s="270" t="s">
        <v>73</v>
      </c>
      <c r="P356" s="295">
        <v>208000</v>
      </c>
      <c r="Q356" s="295">
        <v>98200</v>
      </c>
      <c r="R356" s="307">
        <v>0</v>
      </c>
    </row>
    <row r="357" spans="12:18" ht="18" customHeight="1">
      <c r="L357" s="273" t="s">
        <v>3256</v>
      </c>
      <c r="M357" s="274" t="s">
        <v>3252</v>
      </c>
      <c r="N357" s="289" t="s">
        <v>3257</v>
      </c>
      <c r="O357" s="276" t="s">
        <v>73</v>
      </c>
      <c r="P357" s="296">
        <v>212000</v>
      </c>
      <c r="Q357" s="296">
        <v>101500</v>
      </c>
      <c r="R357" s="305">
        <v>0</v>
      </c>
    </row>
    <row r="358" spans="12:18" ht="18" customHeight="1">
      <c r="L358" s="256" t="s">
        <v>3258</v>
      </c>
      <c r="M358" s="298" t="s">
        <v>3259</v>
      </c>
      <c r="N358" s="315" t="s">
        <v>3260</v>
      </c>
      <c r="O358" s="257" t="s">
        <v>77</v>
      </c>
      <c r="P358" s="300">
        <v>13000</v>
      </c>
      <c r="Q358" s="300">
        <v>4480</v>
      </c>
      <c r="R358" s="301"/>
    </row>
    <row r="359" spans="12:18" ht="18" customHeight="1">
      <c r="L359" s="256"/>
      <c r="M359" s="268" t="s">
        <v>3261</v>
      </c>
      <c r="N359" s="314" t="s">
        <v>3262</v>
      </c>
      <c r="O359" s="270" t="s">
        <v>73</v>
      </c>
      <c r="P359" s="295">
        <v>176000</v>
      </c>
      <c r="Q359" s="295">
        <v>84000</v>
      </c>
      <c r="R359" s="307">
        <v>0</v>
      </c>
    </row>
    <row r="360" spans="12:18" ht="18" customHeight="1">
      <c r="L360" s="261" t="s">
        <v>3263</v>
      </c>
      <c r="M360" s="279" t="s">
        <v>3264</v>
      </c>
      <c r="N360" s="313" t="s">
        <v>3265</v>
      </c>
      <c r="O360" s="281" t="s">
        <v>73</v>
      </c>
      <c r="P360" s="294">
        <v>43000</v>
      </c>
      <c r="Q360" s="294">
        <v>16820</v>
      </c>
      <c r="R360" s="306">
        <v>0</v>
      </c>
    </row>
    <row r="361" spans="12:18" ht="18" customHeight="1">
      <c r="L361" s="273" t="s">
        <v>3266</v>
      </c>
      <c r="M361" s="316" t="s">
        <v>3264</v>
      </c>
      <c r="N361" s="317" t="s">
        <v>3267</v>
      </c>
      <c r="O361" s="318" t="s">
        <v>73</v>
      </c>
      <c r="P361" s="319">
        <v>63000</v>
      </c>
      <c r="Q361" s="319">
        <v>23130</v>
      </c>
      <c r="R361" s="320">
        <v>0</v>
      </c>
    </row>
    <row r="362" spans="12:18" ht="18" customHeight="1">
      <c r="L362" s="267" t="s">
        <v>3268</v>
      </c>
      <c r="M362" s="268" t="s">
        <v>3269</v>
      </c>
      <c r="N362" s="314" t="s">
        <v>3270</v>
      </c>
      <c r="O362" s="270" t="s">
        <v>1824</v>
      </c>
      <c r="P362" s="295">
        <v>13000</v>
      </c>
      <c r="Q362" s="295">
        <v>2982</v>
      </c>
      <c r="R362" s="307">
        <v>0</v>
      </c>
    </row>
    <row r="363" spans="12:18" ht="18" customHeight="1">
      <c r="L363" s="273" t="s">
        <v>3271</v>
      </c>
      <c r="M363" s="274" t="s">
        <v>3272</v>
      </c>
      <c r="N363" s="289" t="s">
        <v>3273</v>
      </c>
      <c r="O363" s="276" t="s">
        <v>77</v>
      </c>
      <c r="P363" s="296">
        <v>50000</v>
      </c>
      <c r="Q363" s="296">
        <v>19688</v>
      </c>
      <c r="R363" s="305"/>
    </row>
    <row r="364" spans="12:18" ht="18" customHeight="1">
      <c r="L364" s="261" t="s">
        <v>3274</v>
      </c>
      <c r="M364" s="279" t="s">
        <v>1662</v>
      </c>
      <c r="N364" s="313" t="s">
        <v>3275</v>
      </c>
      <c r="O364" s="281" t="s">
        <v>741</v>
      </c>
      <c r="P364" s="294">
        <v>41300</v>
      </c>
      <c r="Q364" s="294">
        <v>7888</v>
      </c>
      <c r="R364" s="306">
        <v>0</v>
      </c>
    </row>
    <row r="365" spans="12:18" ht="18" customHeight="1">
      <c r="L365" s="273" t="s">
        <v>3276</v>
      </c>
      <c r="M365" s="316" t="s">
        <v>3277</v>
      </c>
      <c r="N365" s="317" t="s">
        <v>3278</v>
      </c>
      <c r="O365" s="318" t="s">
        <v>741</v>
      </c>
      <c r="P365" s="319">
        <v>41300</v>
      </c>
      <c r="Q365" s="319">
        <v>7883</v>
      </c>
      <c r="R365" s="320">
        <v>0</v>
      </c>
    </row>
    <row r="366" spans="12:18" ht="18" customHeight="1">
      <c r="L366" s="267" t="s">
        <v>3279</v>
      </c>
      <c r="M366" s="268" t="s">
        <v>3280</v>
      </c>
      <c r="N366" s="314" t="s">
        <v>3281</v>
      </c>
      <c r="O366" s="270" t="s">
        <v>3282</v>
      </c>
      <c r="P366" s="295">
        <v>116000</v>
      </c>
      <c r="Q366" s="295">
        <v>44000</v>
      </c>
      <c r="R366" s="307">
        <v>0</v>
      </c>
    </row>
    <row r="367" spans="12:18" ht="18" customHeight="1">
      <c r="L367" s="267" t="s">
        <v>3283</v>
      </c>
      <c r="M367" s="268" t="s">
        <v>3284</v>
      </c>
      <c r="N367" s="314" t="s">
        <v>3285</v>
      </c>
      <c r="O367" s="270" t="s">
        <v>3282</v>
      </c>
      <c r="P367" s="295">
        <v>48000</v>
      </c>
      <c r="Q367" s="295">
        <v>16500</v>
      </c>
      <c r="R367" s="307">
        <v>0</v>
      </c>
    </row>
    <row r="368" spans="12:18" ht="18" customHeight="1">
      <c r="L368" s="267" t="s">
        <v>3286</v>
      </c>
      <c r="M368" s="268" t="s">
        <v>3284</v>
      </c>
      <c r="N368" s="314" t="s">
        <v>3287</v>
      </c>
      <c r="O368" s="270" t="s">
        <v>3282</v>
      </c>
      <c r="P368" s="295">
        <v>58000</v>
      </c>
      <c r="Q368" s="295">
        <v>21500</v>
      </c>
      <c r="R368" s="307">
        <v>0</v>
      </c>
    </row>
    <row r="369" spans="12:18" ht="18" customHeight="1">
      <c r="L369" s="267" t="s">
        <v>3288</v>
      </c>
      <c r="M369" s="268" t="s">
        <v>3284</v>
      </c>
      <c r="N369" s="314" t="s">
        <v>3289</v>
      </c>
      <c r="O369" s="270" t="s">
        <v>3282</v>
      </c>
      <c r="P369" s="295">
        <v>100000</v>
      </c>
      <c r="Q369" s="295">
        <v>60000</v>
      </c>
      <c r="R369" s="307">
        <v>0</v>
      </c>
    </row>
    <row r="370" spans="12:18" ht="18" customHeight="1">
      <c r="L370" s="267"/>
      <c r="M370" s="268" t="s">
        <v>3290</v>
      </c>
      <c r="N370" s="314" t="s">
        <v>3291</v>
      </c>
      <c r="O370" s="270" t="s">
        <v>3282</v>
      </c>
      <c r="P370" s="295">
        <v>86000</v>
      </c>
      <c r="Q370" s="295">
        <v>36000</v>
      </c>
      <c r="R370" s="307">
        <v>0</v>
      </c>
    </row>
    <row r="371" spans="12:18" ht="18" customHeight="1">
      <c r="L371" s="267"/>
      <c r="M371" s="268" t="s">
        <v>3292</v>
      </c>
      <c r="N371" s="314" t="s">
        <v>3293</v>
      </c>
      <c r="O371" s="270" t="s">
        <v>3282</v>
      </c>
      <c r="P371" s="295">
        <v>67000</v>
      </c>
      <c r="Q371" s="295">
        <v>31500</v>
      </c>
      <c r="R371" s="307">
        <v>0</v>
      </c>
    </row>
    <row r="372" spans="12:18" ht="18" customHeight="1">
      <c r="L372" s="267"/>
      <c r="M372" s="268" t="s">
        <v>3294</v>
      </c>
      <c r="N372" s="314" t="s">
        <v>3295</v>
      </c>
      <c r="O372" s="270" t="s">
        <v>3282</v>
      </c>
      <c r="P372" s="295">
        <v>49000</v>
      </c>
      <c r="Q372" s="295">
        <v>18500</v>
      </c>
      <c r="R372" s="307">
        <v>0</v>
      </c>
    </row>
    <row r="373" spans="12:18" ht="18" customHeight="1">
      <c r="L373" s="267"/>
      <c r="M373" s="268" t="s">
        <v>3296</v>
      </c>
      <c r="N373" s="314" t="s">
        <v>3297</v>
      </c>
      <c r="O373" s="270" t="s">
        <v>3282</v>
      </c>
      <c r="P373" s="295">
        <v>58000</v>
      </c>
      <c r="Q373" s="295">
        <v>20500</v>
      </c>
      <c r="R373" s="307">
        <v>0</v>
      </c>
    </row>
    <row r="374" spans="12:18" ht="18" customHeight="1">
      <c r="L374" s="267"/>
      <c r="M374" s="268" t="s">
        <v>3296</v>
      </c>
      <c r="N374" s="314" t="s">
        <v>3298</v>
      </c>
      <c r="O374" s="270" t="s">
        <v>3282</v>
      </c>
      <c r="P374" s="295">
        <v>88000</v>
      </c>
      <c r="Q374" s="295">
        <v>32000</v>
      </c>
      <c r="R374" s="307">
        <v>0</v>
      </c>
    </row>
    <row r="375" spans="12:18" ht="18" customHeight="1">
      <c r="L375" s="267"/>
      <c r="M375" s="268" t="s">
        <v>3296</v>
      </c>
      <c r="N375" s="314" t="s">
        <v>3299</v>
      </c>
      <c r="O375" s="270" t="s">
        <v>3282</v>
      </c>
      <c r="P375" s="295">
        <v>110000</v>
      </c>
      <c r="Q375" s="295">
        <v>42000</v>
      </c>
      <c r="R375" s="307">
        <v>0</v>
      </c>
    </row>
    <row r="376" spans="12:18" ht="18" customHeight="1">
      <c r="L376" s="267"/>
      <c r="M376" s="268" t="s">
        <v>3300</v>
      </c>
      <c r="N376" s="314" t="s">
        <v>3301</v>
      </c>
      <c r="O376" s="270" t="s">
        <v>3197</v>
      </c>
      <c r="P376" s="295">
        <v>36000</v>
      </c>
      <c r="Q376" s="295">
        <v>14000</v>
      </c>
      <c r="R376" s="307">
        <v>0</v>
      </c>
    </row>
    <row r="377" spans="12:18" ht="18" customHeight="1">
      <c r="L377" s="267"/>
      <c r="M377" s="268" t="s">
        <v>3300</v>
      </c>
      <c r="N377" s="314" t="s">
        <v>3302</v>
      </c>
      <c r="O377" s="270" t="s">
        <v>3197</v>
      </c>
      <c r="P377" s="295">
        <v>36000</v>
      </c>
      <c r="Q377" s="295">
        <v>14000</v>
      </c>
      <c r="R377" s="307">
        <v>0</v>
      </c>
    </row>
    <row r="378" spans="12:18" ht="18" customHeight="1">
      <c r="L378" s="267" t="s">
        <v>3303</v>
      </c>
      <c r="M378" s="268" t="s">
        <v>3304</v>
      </c>
      <c r="N378" s="314" t="s">
        <v>3305</v>
      </c>
      <c r="O378" s="270" t="s">
        <v>741</v>
      </c>
      <c r="P378" s="295">
        <v>50000</v>
      </c>
      <c r="Q378" s="295">
        <v>12200</v>
      </c>
      <c r="R378" s="307">
        <v>0</v>
      </c>
    </row>
    <row r="379" spans="12:18" ht="18" customHeight="1">
      <c r="L379" s="267" t="s">
        <v>3306</v>
      </c>
      <c r="M379" s="268" t="s">
        <v>3304</v>
      </c>
      <c r="N379" s="314" t="s">
        <v>3307</v>
      </c>
      <c r="O379" s="270" t="s">
        <v>741</v>
      </c>
      <c r="P379" s="295">
        <v>50000</v>
      </c>
      <c r="Q379" s="295">
        <v>12200</v>
      </c>
      <c r="R379" s="307">
        <v>0</v>
      </c>
    </row>
    <row r="380" spans="12:18" ht="18" customHeight="1">
      <c r="L380" s="267" t="s">
        <v>3308</v>
      </c>
      <c r="M380" s="268" t="s">
        <v>3304</v>
      </c>
      <c r="N380" s="314" t="s">
        <v>3309</v>
      </c>
      <c r="O380" s="270" t="s">
        <v>741</v>
      </c>
      <c r="P380" s="295">
        <v>78000</v>
      </c>
      <c r="Q380" s="295">
        <v>20100</v>
      </c>
      <c r="R380" s="307">
        <v>0</v>
      </c>
    </row>
    <row r="381" spans="12:18" ht="18" customHeight="1">
      <c r="L381" s="267" t="s">
        <v>3310</v>
      </c>
      <c r="M381" s="268" t="s">
        <v>3304</v>
      </c>
      <c r="N381" s="314" t="s">
        <v>3311</v>
      </c>
      <c r="O381" s="270" t="s">
        <v>741</v>
      </c>
      <c r="P381" s="295">
        <v>78000</v>
      </c>
      <c r="Q381" s="295">
        <v>20100</v>
      </c>
      <c r="R381" s="307">
        <v>0</v>
      </c>
    </row>
    <row r="382" spans="12:18" ht="18" customHeight="1">
      <c r="L382" s="267" t="s">
        <v>3312</v>
      </c>
      <c r="M382" s="268" t="s">
        <v>3304</v>
      </c>
      <c r="N382" s="314" t="s">
        <v>3313</v>
      </c>
      <c r="O382" s="270" t="s">
        <v>741</v>
      </c>
      <c r="P382" s="295">
        <v>95000</v>
      </c>
      <c r="Q382" s="295">
        <v>21300</v>
      </c>
      <c r="R382" s="307">
        <v>0</v>
      </c>
    </row>
    <row r="383" spans="12:18" ht="18" customHeight="1">
      <c r="L383" s="267" t="s">
        <v>3314</v>
      </c>
      <c r="M383" s="268" t="s">
        <v>3304</v>
      </c>
      <c r="N383" s="314" t="s">
        <v>3315</v>
      </c>
      <c r="O383" s="270" t="s">
        <v>741</v>
      </c>
      <c r="P383" s="295">
        <v>95000</v>
      </c>
      <c r="Q383" s="295">
        <v>21300</v>
      </c>
      <c r="R383" s="307">
        <v>0</v>
      </c>
    </row>
    <row r="384" spans="12:18" ht="18" customHeight="1">
      <c r="L384" s="267" t="s">
        <v>3316</v>
      </c>
      <c r="M384" s="268" t="s">
        <v>3304</v>
      </c>
      <c r="N384" s="314" t="s">
        <v>3317</v>
      </c>
      <c r="O384" s="270" t="s">
        <v>741</v>
      </c>
      <c r="P384" s="295">
        <v>124000</v>
      </c>
      <c r="Q384" s="295">
        <v>29100</v>
      </c>
      <c r="R384" s="307">
        <v>0</v>
      </c>
    </row>
    <row r="385" spans="12:18" ht="18" customHeight="1">
      <c r="L385" s="273" t="s">
        <v>3318</v>
      </c>
      <c r="M385" s="274" t="s">
        <v>3304</v>
      </c>
      <c r="N385" s="289" t="s">
        <v>3319</v>
      </c>
      <c r="O385" s="276" t="s">
        <v>741</v>
      </c>
      <c r="P385" s="296">
        <v>124000</v>
      </c>
      <c r="Q385" s="296">
        <v>29100</v>
      </c>
      <c r="R385" s="305">
        <v>0</v>
      </c>
    </row>
    <row r="386" spans="12:18" ht="18" customHeight="1">
      <c r="L386" s="261" t="s">
        <v>3320</v>
      </c>
      <c r="M386" s="279" t="s">
        <v>1530</v>
      </c>
      <c r="N386" s="313" t="s">
        <v>3321</v>
      </c>
      <c r="O386" s="281" t="s">
        <v>460</v>
      </c>
      <c r="P386" s="294">
        <v>90000</v>
      </c>
      <c r="Q386" s="294">
        <v>50220</v>
      </c>
      <c r="R386" s="306">
        <v>1.5</v>
      </c>
    </row>
    <row r="387" spans="12:18" ht="18" customHeight="1">
      <c r="L387" s="267" t="s">
        <v>3322</v>
      </c>
      <c r="M387" s="268" t="s">
        <v>1545</v>
      </c>
      <c r="N387" s="314" t="s">
        <v>3323</v>
      </c>
      <c r="O387" s="270" t="s">
        <v>460</v>
      </c>
      <c r="P387" s="295">
        <v>126000</v>
      </c>
      <c r="Q387" s="295">
        <v>59330</v>
      </c>
      <c r="R387" s="307">
        <v>1.5</v>
      </c>
    </row>
    <row r="388" spans="12:18" ht="18" customHeight="1">
      <c r="L388" s="267" t="s">
        <v>3324</v>
      </c>
      <c r="M388" s="268" t="s">
        <v>1545</v>
      </c>
      <c r="N388" s="314" t="s">
        <v>3325</v>
      </c>
      <c r="O388" s="270" t="s">
        <v>460</v>
      </c>
      <c r="P388" s="295">
        <v>116000</v>
      </c>
      <c r="Q388" s="295">
        <v>53820</v>
      </c>
      <c r="R388" s="307">
        <v>1.5</v>
      </c>
    </row>
    <row r="389" spans="12:18" ht="18" customHeight="1">
      <c r="L389" s="267" t="s">
        <v>3326</v>
      </c>
      <c r="M389" s="268" t="s">
        <v>1545</v>
      </c>
      <c r="N389" s="314" t="s">
        <v>3327</v>
      </c>
      <c r="O389" s="270" t="s">
        <v>460</v>
      </c>
      <c r="P389" s="295">
        <v>146000</v>
      </c>
      <c r="Q389" s="295">
        <v>62330</v>
      </c>
      <c r="R389" s="307">
        <v>1.5</v>
      </c>
    </row>
    <row r="390" spans="12:18" ht="18" customHeight="1">
      <c r="L390" s="267" t="s">
        <v>3328</v>
      </c>
      <c r="M390" s="268" t="s">
        <v>1545</v>
      </c>
      <c r="N390" s="314" t="s">
        <v>3329</v>
      </c>
      <c r="O390" s="270" t="s">
        <v>460</v>
      </c>
      <c r="P390" s="295">
        <v>129000</v>
      </c>
      <c r="Q390" s="295">
        <v>55220</v>
      </c>
      <c r="R390" s="307">
        <v>1.5</v>
      </c>
    </row>
    <row r="391" spans="12:18" ht="18" customHeight="1">
      <c r="L391" s="267" t="s">
        <v>3330</v>
      </c>
      <c r="M391" s="268" t="s">
        <v>1545</v>
      </c>
      <c r="N391" s="314" t="s">
        <v>3331</v>
      </c>
      <c r="O391" s="270" t="s">
        <v>460</v>
      </c>
      <c r="P391" s="295">
        <v>168000</v>
      </c>
      <c r="Q391" s="295">
        <v>66930</v>
      </c>
      <c r="R391" s="307">
        <v>1.5</v>
      </c>
    </row>
    <row r="392" spans="12:18" ht="18" customHeight="1">
      <c r="L392" s="267" t="s">
        <v>3332</v>
      </c>
      <c r="M392" s="268" t="s">
        <v>1579</v>
      </c>
      <c r="N392" s="314" t="s">
        <v>3333</v>
      </c>
      <c r="O392" s="270" t="s">
        <v>286</v>
      </c>
      <c r="P392" s="295">
        <v>210000</v>
      </c>
      <c r="Q392" s="295">
        <v>98840</v>
      </c>
      <c r="R392" s="307">
        <v>1.5</v>
      </c>
    </row>
    <row r="393" spans="12:18" ht="18" customHeight="1">
      <c r="L393" s="267" t="s">
        <v>3334</v>
      </c>
      <c r="M393" s="268" t="s">
        <v>1579</v>
      </c>
      <c r="N393" s="314" t="s">
        <v>3335</v>
      </c>
      <c r="O393" s="270" t="s">
        <v>286</v>
      </c>
      <c r="P393" s="295">
        <v>189000</v>
      </c>
      <c r="Q393" s="295">
        <v>100270</v>
      </c>
      <c r="R393" s="307">
        <v>1.5</v>
      </c>
    </row>
    <row r="394" spans="12:18" ht="18" customHeight="1">
      <c r="L394" s="267" t="s">
        <v>3336</v>
      </c>
      <c r="M394" s="268" t="s">
        <v>1579</v>
      </c>
      <c r="N394" s="314" t="s">
        <v>3337</v>
      </c>
      <c r="O394" s="270" t="s">
        <v>286</v>
      </c>
      <c r="P394" s="295">
        <v>79000</v>
      </c>
      <c r="Q394" s="295">
        <v>44300</v>
      </c>
      <c r="R394" s="307">
        <v>1.5</v>
      </c>
    </row>
    <row r="395" spans="12:18" ht="18" customHeight="1">
      <c r="L395" s="267" t="s">
        <v>3338</v>
      </c>
      <c r="M395" s="268" t="s">
        <v>1579</v>
      </c>
      <c r="N395" s="314" t="s">
        <v>3339</v>
      </c>
      <c r="O395" s="270" t="s">
        <v>286</v>
      </c>
      <c r="P395" s="295">
        <v>79000</v>
      </c>
      <c r="Q395" s="295">
        <v>44900</v>
      </c>
      <c r="R395" s="307">
        <v>1.5</v>
      </c>
    </row>
    <row r="396" spans="12:18" ht="18" customHeight="1">
      <c r="L396" s="267" t="s">
        <v>3340</v>
      </c>
      <c r="M396" s="268" t="s">
        <v>1579</v>
      </c>
      <c r="N396" s="314" t="s">
        <v>3341</v>
      </c>
      <c r="O396" s="270" t="s">
        <v>286</v>
      </c>
      <c r="P396" s="295">
        <v>79000</v>
      </c>
      <c r="Q396" s="295">
        <v>43300</v>
      </c>
      <c r="R396" s="307">
        <v>1.5</v>
      </c>
    </row>
    <row r="397" spans="12:18" ht="18" customHeight="1">
      <c r="L397" s="267" t="s">
        <v>3342</v>
      </c>
      <c r="M397" s="268" t="s">
        <v>1579</v>
      </c>
      <c r="N397" s="314" t="s">
        <v>3343</v>
      </c>
      <c r="O397" s="270" t="s">
        <v>286</v>
      </c>
      <c r="P397" s="295">
        <v>79000</v>
      </c>
      <c r="Q397" s="295">
        <v>48100</v>
      </c>
      <c r="R397" s="307">
        <v>1.5</v>
      </c>
    </row>
    <row r="398" spans="12:18" ht="18" customHeight="1">
      <c r="L398" s="267" t="s">
        <v>3344</v>
      </c>
      <c r="M398" s="268" t="s">
        <v>1579</v>
      </c>
      <c r="N398" s="314" t="s">
        <v>3345</v>
      </c>
      <c r="O398" s="270" t="s">
        <v>286</v>
      </c>
      <c r="P398" s="295">
        <v>84000</v>
      </c>
      <c r="Q398" s="295">
        <v>47100</v>
      </c>
      <c r="R398" s="307">
        <v>1.5</v>
      </c>
    </row>
    <row r="399" spans="12:18" ht="18" customHeight="1">
      <c r="L399" s="267" t="s">
        <v>3346</v>
      </c>
      <c r="M399" s="268" t="s">
        <v>1579</v>
      </c>
      <c r="N399" s="314" t="s">
        <v>3347</v>
      </c>
      <c r="O399" s="270" t="s">
        <v>286</v>
      </c>
      <c r="P399" s="295">
        <v>84000</v>
      </c>
      <c r="Q399" s="295">
        <v>49900</v>
      </c>
      <c r="R399" s="307">
        <v>1.5</v>
      </c>
    </row>
    <row r="400" spans="12:18" ht="18" customHeight="1">
      <c r="L400" s="267" t="s">
        <v>3348</v>
      </c>
      <c r="M400" s="268" t="s">
        <v>1579</v>
      </c>
      <c r="N400" s="314" t="s">
        <v>3349</v>
      </c>
      <c r="O400" s="270" t="s">
        <v>286</v>
      </c>
      <c r="P400" s="295">
        <v>84000</v>
      </c>
      <c r="Q400" s="295">
        <v>49500</v>
      </c>
      <c r="R400" s="307">
        <v>1.5</v>
      </c>
    </row>
    <row r="401" spans="12:18" ht="18" customHeight="1">
      <c r="L401" s="267"/>
      <c r="M401" s="268" t="s">
        <v>3350</v>
      </c>
      <c r="N401" s="314" t="s">
        <v>3351</v>
      </c>
      <c r="O401" s="270" t="s">
        <v>3352</v>
      </c>
      <c r="P401" s="295">
        <v>1720</v>
      </c>
      <c r="Q401" s="295">
        <v>630</v>
      </c>
      <c r="R401" s="307">
        <v>0</v>
      </c>
    </row>
    <row r="402" spans="12:18" ht="18" customHeight="1">
      <c r="L402" s="321"/>
      <c r="M402" s="274" t="s">
        <v>3350</v>
      </c>
      <c r="N402" s="289" t="s">
        <v>3353</v>
      </c>
      <c r="O402" s="276" t="s">
        <v>3352</v>
      </c>
      <c r="P402" s="296">
        <v>2500</v>
      </c>
      <c r="Q402" s="296">
        <v>900</v>
      </c>
      <c r="R402" s="305">
        <v>0</v>
      </c>
    </row>
    <row r="403" spans="12:18" ht="18" customHeight="1"/>
    <row r="404" spans="12:18" ht="18" customHeight="1"/>
    <row r="405" spans="12:18" ht="18" customHeight="1"/>
    <row r="406" spans="12:18" ht="18" customHeight="1"/>
    <row r="407" spans="12:18" ht="18" customHeight="1"/>
    <row r="408" spans="12:18" ht="18" customHeight="1"/>
    <row r="409" spans="12:18" ht="18" customHeight="1"/>
    <row r="410" spans="12:18" ht="18" customHeight="1"/>
    <row r="411" spans="12:18" ht="18" customHeight="1"/>
    <row r="412" spans="12:18" ht="18" customHeight="1"/>
    <row r="413" spans="12:18" ht="18" customHeight="1"/>
    <row r="414" spans="12:18" ht="18" customHeight="1"/>
    <row r="415" spans="12:18" ht="18" customHeight="1"/>
    <row r="416" spans="12:18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</sheetData>
  <phoneticPr fontId="2"/>
  <pageMargins left="0.45" right="0.49" top="0.4" bottom="0.44" header="0.16" footer="0.36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7261fd-ce02-42df-a1bf-a454496214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C3F083B37A3943BEEC94CD2923DDE5" ma:contentTypeVersion="10" ma:contentTypeDescription="新しいドキュメントを作成します。" ma:contentTypeScope="" ma:versionID="be9d98c68486ce91da9029c191939da9">
  <xsd:schema xmlns:xsd="http://www.w3.org/2001/XMLSchema" xmlns:xs="http://www.w3.org/2001/XMLSchema" xmlns:p="http://schemas.microsoft.com/office/2006/metadata/properties" xmlns:ns2="cc7261fd-ce02-42df-a1bf-a45449621456" targetNamespace="http://schemas.microsoft.com/office/2006/metadata/properties" ma:root="true" ma:fieldsID="ae6e7a8e2bbadd1e8380cc5dd68ba56a" ns2:_="">
    <xsd:import namespace="cc7261fd-ce02-42df-a1bf-a45449621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7261fd-ce02-42df-a1bf-a45449621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496f59b-9167-4863-b1e6-1704e5e9b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B4B99-E7BB-4BDF-A77C-2DFCB18F77BF}"/>
</file>

<file path=customXml/itemProps2.xml><?xml version="1.0" encoding="utf-8"?>
<ds:datastoreItem xmlns:ds="http://schemas.openxmlformats.org/officeDocument/2006/customXml" ds:itemID="{A303421D-478D-4E6A-8D25-7E9EB7A91DFE}"/>
</file>

<file path=customXml/itemProps3.xml><?xml version="1.0" encoding="utf-8"?>
<ds:datastoreItem xmlns:ds="http://schemas.openxmlformats.org/officeDocument/2006/customXml" ds:itemID="{D4FEAF42-7253-4D1D-A437-208D48E819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ネポン株式会社 営業技術部</dc:creator>
  <cp:keywords/>
  <dc:description/>
  <cp:lastModifiedBy/>
  <cp:revision/>
  <dcterms:created xsi:type="dcterms:W3CDTF">2000-07-17T00:41:03Z</dcterms:created>
  <dcterms:modified xsi:type="dcterms:W3CDTF">2025-07-12T03:01:56Z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0x01010073C3F083B37A3943BEEC94CD2923DDE5</vt:lpwstr>
  </property>
  <property fmtid="{D5CDD505-2E9C-101B-9397-08002B2CF9AE}" pid="3" name="MediaServiceImageTags">
    <vt:lpwstr/>
  </property>
</Properties>
</file>