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Launcher\開発\claude\見積作成アプリ\マスタ作成\"/>
    </mc:Choice>
  </mc:AlternateContent>
  <xr:revisionPtr revIDLastSave="0" documentId="13_ncr:1_{B1593458-CC24-48E9-90EE-77026B531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6" i="1" s="1"/>
  <c r="E24" i="1"/>
  <c r="E5" i="1" s="1"/>
  <c r="E23" i="1"/>
  <c r="E4" i="1" s="1"/>
  <c r="E22" i="1"/>
  <c r="E3" i="1" s="1"/>
  <c r="E21" i="1"/>
  <c r="E2" i="1" s="1"/>
  <c r="E20" i="1"/>
  <c r="E19" i="1"/>
  <c r="E18" i="1"/>
  <c r="E17" i="1"/>
  <c r="E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<sst xmlns="http://schemas.openxmlformats.org/spreadsheetml/2006/main" count="1709" uniqueCount="380">
  <si>
    <t>管材表名</t>
  </si>
  <si>
    <t>単位</t>
  </si>
  <si>
    <t>価格</t>
  </si>
  <si>
    <t>型式</t>
  </si>
  <si>
    <t>原価</t>
  </si>
  <si>
    <t>歩単</t>
  </si>
  <si>
    <t>品番</t>
  </si>
  <si>
    <t>SGP鋼管(白)</t>
  </si>
  <si>
    <t>m</t>
  </si>
  <si>
    <t>15A</t>
  </si>
  <si>
    <t>20A</t>
  </si>
  <si>
    <t>25A</t>
  </si>
  <si>
    <t>32A</t>
  </si>
  <si>
    <t>40A</t>
  </si>
  <si>
    <t>50A</t>
  </si>
  <si>
    <t>65A</t>
  </si>
  <si>
    <t>80A</t>
  </si>
  <si>
    <t>100A</t>
  </si>
  <si>
    <t>SGP鋼管</t>
  </si>
  <si>
    <t>125A</t>
  </si>
  <si>
    <t>150A</t>
  </si>
  <si>
    <t>200A</t>
  </si>
  <si>
    <t>250A</t>
  </si>
  <si>
    <t>300A</t>
  </si>
  <si>
    <t>4m</t>
  </si>
  <si>
    <t>5.5m</t>
  </si>
  <si>
    <t>STK鋼管</t>
    <rPh sb="3" eb="5">
      <t>コウカン</t>
    </rPh>
    <phoneticPr fontId="1"/>
  </si>
  <si>
    <t>40A(Znﾒｯｷ)</t>
  </si>
  <si>
    <t>50A(Znﾒｯｷ)</t>
  </si>
  <si>
    <t>65A(Znﾒｯｷ)</t>
  </si>
  <si>
    <t>80A(Znﾒｯｷ)</t>
  </si>
  <si>
    <t>100A(Znﾒｯｷ)</t>
  </si>
  <si>
    <t>125A(Znﾒｯｷ)</t>
  </si>
  <si>
    <t>150A(Znﾒｯｷ)</t>
  </si>
  <si>
    <t>200A(Znﾒｯｷ)</t>
  </si>
  <si>
    <t>250A(Znﾒｯｷ)</t>
  </si>
  <si>
    <t>300A(Znﾒｯｷ)</t>
  </si>
  <si>
    <t>STK鋼管(5.5m)</t>
    <rPh sb="3" eb="5">
      <t>コウカン</t>
    </rPh>
    <phoneticPr fontId="1"/>
  </si>
  <si>
    <t>本</t>
    <rPh sb="0" eb="1">
      <t>ホン</t>
    </rPh>
    <phoneticPr fontId="1"/>
  </si>
  <si>
    <t>本</t>
    <rPh sb="0" eb="1">
      <t>ホン</t>
    </rPh>
    <phoneticPr fontId="2"/>
  </si>
  <si>
    <t>ｍ</t>
  </si>
  <si>
    <t>外面被覆鋼管</t>
    <rPh sb="0" eb="2">
      <t>ガイメン</t>
    </rPh>
    <rPh sb="2" eb="4">
      <t>ヒフク</t>
    </rPh>
    <rPh sb="4" eb="6">
      <t>コウカン</t>
    </rPh>
    <phoneticPr fontId="1"/>
  </si>
  <si>
    <t>ｽﾃﾝﾚｽ管</t>
  </si>
  <si>
    <t>ｽﾃﾝﾚｽ ｴﾙﾎﾞ</t>
  </si>
  <si>
    <t>個</t>
    <rPh sb="0" eb="1">
      <t>コ</t>
    </rPh>
    <phoneticPr fontId="1"/>
  </si>
  <si>
    <t>ｽﾃﾝﾚｽ ﾁ-ｽﾞ</t>
  </si>
  <si>
    <t>ｽﾃﾝﾚｽ ﾁｰｽﾞ</t>
  </si>
  <si>
    <t>ｽﾃﾝﾚｽ ﾕﾆｵﾝ</t>
  </si>
  <si>
    <t>塩ﾋﾞ管</t>
    <rPh sb="0" eb="1">
      <t>エン</t>
    </rPh>
    <rPh sb="3" eb="4">
      <t>カン</t>
    </rPh>
    <phoneticPr fontId="1"/>
  </si>
  <si>
    <t>VP φ13</t>
  </si>
  <si>
    <t>VP φ16</t>
  </si>
  <si>
    <t>VP φ20</t>
  </si>
  <si>
    <t>VP φ25</t>
  </si>
  <si>
    <t>VP φ30</t>
  </si>
  <si>
    <t>VP φ40</t>
  </si>
  <si>
    <t>VP φ50</t>
  </si>
  <si>
    <t>VP φ65</t>
  </si>
  <si>
    <t>VP φ75</t>
  </si>
  <si>
    <t>VP φ100</t>
  </si>
  <si>
    <t>VP φ125</t>
  </si>
  <si>
    <t>VP φ150</t>
  </si>
  <si>
    <t>VU φ40</t>
  </si>
  <si>
    <t>VU φ50</t>
  </si>
  <si>
    <t>VU φ65</t>
  </si>
  <si>
    <t>VU φ75</t>
  </si>
  <si>
    <t>VU φ100</t>
  </si>
  <si>
    <t>VU φ125</t>
  </si>
  <si>
    <t>VU φ150</t>
  </si>
  <si>
    <t>VU φ200</t>
  </si>
  <si>
    <t>VU φ250</t>
  </si>
  <si>
    <t>VU φ300</t>
  </si>
  <si>
    <t>VU φ350</t>
  </si>
  <si>
    <t>VU φ400</t>
  </si>
  <si>
    <t>VU φ450</t>
  </si>
  <si>
    <t>VU φ500</t>
  </si>
  <si>
    <t>塩ﾋﾞ管(耐衝撃性)</t>
    <rPh sb="0" eb="1">
      <t>エン</t>
    </rPh>
    <rPh sb="3" eb="4">
      <t>カン</t>
    </rPh>
    <rPh sb="5" eb="6">
      <t>タイ</t>
    </rPh>
    <rPh sb="6" eb="9">
      <t>ショウゲキセイ</t>
    </rPh>
    <phoneticPr fontId="1"/>
  </si>
  <si>
    <t>HI φ13</t>
  </si>
  <si>
    <t>HI φ16</t>
  </si>
  <si>
    <t>HI φ20</t>
  </si>
  <si>
    <t>HI φ25</t>
  </si>
  <si>
    <t>HI φ30</t>
  </si>
  <si>
    <t>HI φ40</t>
  </si>
  <si>
    <t>HI φ50</t>
  </si>
  <si>
    <t>塩ﾋﾞ管(耐熱性)</t>
    <rPh sb="0" eb="1">
      <t>エン</t>
    </rPh>
    <rPh sb="3" eb="4">
      <t>カン</t>
    </rPh>
    <rPh sb="5" eb="6">
      <t>タイ</t>
    </rPh>
    <rPh sb="6" eb="7">
      <t>セイ</t>
    </rPh>
    <rPh sb="7" eb="8">
      <t>）</t>
    </rPh>
    <phoneticPr fontId="1"/>
  </si>
  <si>
    <t>HT φ13</t>
  </si>
  <si>
    <t>HT φ16</t>
  </si>
  <si>
    <t>HT φ20</t>
  </si>
  <si>
    <t>HT φ25</t>
  </si>
  <si>
    <t>HT φ30</t>
  </si>
  <si>
    <t>HT φ40</t>
  </si>
  <si>
    <t>HT φ50</t>
  </si>
  <si>
    <t>HT φ65</t>
  </si>
  <si>
    <t>HT φ75</t>
  </si>
  <si>
    <t>HT φ100</t>
  </si>
  <si>
    <t>HT φ125</t>
  </si>
  <si>
    <t>HT φ150</t>
  </si>
  <si>
    <t>硬質ﾎﾟﾘ管</t>
    <rPh sb="0" eb="2">
      <t>コウシツ</t>
    </rPh>
    <rPh sb="5" eb="6">
      <t>カン</t>
    </rPh>
    <phoneticPr fontId="1"/>
  </si>
  <si>
    <t>巻</t>
    <rPh sb="0" eb="1">
      <t>マキ</t>
    </rPh>
    <phoneticPr fontId="1"/>
  </si>
  <si>
    <t>PE12-10 外径φ13 100m</t>
  </si>
  <si>
    <t xml:space="preserve">PE12-13 外径φ17 100m  </t>
  </si>
  <si>
    <t>PE12-16 外径φ21.5 100m</t>
  </si>
  <si>
    <t xml:space="preserve">PE12-20 外径φ27 100m  </t>
  </si>
  <si>
    <t>ﾎﾟﾘｼﾞｮｲﾝﾄ</t>
  </si>
  <si>
    <t xml:space="preserve">φ13    </t>
  </si>
  <si>
    <t xml:space="preserve">φ20   </t>
  </si>
  <si>
    <t xml:space="preserve">φ25    </t>
  </si>
  <si>
    <t>ﾎﾟﾘ管用ｿｹｯﾄ</t>
    <rPh sb="3" eb="4">
      <t>カン</t>
    </rPh>
    <rPh sb="4" eb="5">
      <t>ヨウ</t>
    </rPh>
    <phoneticPr fontId="1"/>
  </si>
  <si>
    <t>13S</t>
  </si>
  <si>
    <t>20S</t>
  </si>
  <si>
    <t>25S</t>
  </si>
  <si>
    <t>ﾎﾟﾘ管用ｴﾙﾎﾞ</t>
    <rPh sb="3" eb="4">
      <t>カン</t>
    </rPh>
    <rPh sb="4" eb="5">
      <t>ヨウ</t>
    </rPh>
    <phoneticPr fontId="1"/>
  </si>
  <si>
    <t>13L</t>
  </si>
  <si>
    <t>20L</t>
  </si>
  <si>
    <t>25L</t>
  </si>
  <si>
    <t>ﾎﾟﾘ管用ﾁｰｽﾞ</t>
    <rPh sb="3" eb="4">
      <t>カン</t>
    </rPh>
    <rPh sb="4" eb="5">
      <t>ヨウ</t>
    </rPh>
    <phoneticPr fontId="1"/>
  </si>
  <si>
    <t>ﾎﾟﾘﾌﾞﾃﾞﾝ管</t>
    <rPh sb="8" eb="9">
      <t>カン</t>
    </rPh>
    <phoneticPr fontId="1"/>
  </si>
  <si>
    <t>13A</t>
  </si>
  <si>
    <t>16A</t>
  </si>
  <si>
    <t>30A</t>
  </si>
  <si>
    <t>75A</t>
  </si>
  <si>
    <t>ﾎﾟﾘﾌﾞﾃﾞﾝ　ｿｹｯﾄ</t>
  </si>
  <si>
    <t>ﾎﾟﾘﾌﾞﾃﾞﾝ　ｴﾙﾎﾞ</t>
  </si>
  <si>
    <t>巻</t>
    <rPh sb="0" eb="1">
      <t>カン</t>
    </rPh>
    <phoneticPr fontId="1"/>
  </si>
  <si>
    <t>外径φ10×120ｍ</t>
    <rPh sb="0" eb="2">
      <t>ガイケイ</t>
    </rPh>
    <phoneticPr fontId="1"/>
  </si>
  <si>
    <t>外径φ17×120ｍ</t>
    <rPh sb="0" eb="2">
      <t>ガイケイ</t>
    </rPh>
    <phoneticPr fontId="1"/>
  </si>
  <si>
    <t>外径φ22×60ｍ</t>
    <rPh sb="0" eb="2">
      <t>ガイケイ</t>
    </rPh>
    <phoneticPr fontId="1"/>
  </si>
  <si>
    <t>ｹﾞｰﾄ弁</t>
    <rPh sb="4" eb="5">
      <t>ベン</t>
    </rPh>
    <phoneticPr fontId="4"/>
  </si>
  <si>
    <t>個</t>
    <rPh sb="0" eb="1">
      <t>コ</t>
    </rPh>
    <phoneticPr fontId="4"/>
  </si>
  <si>
    <t>50A(ﾌﾗﾝｼﾞ)</t>
  </si>
  <si>
    <t>65A(ﾌﾗﾝｼﾞ)</t>
  </si>
  <si>
    <t>80A(ﾌﾗﾝｼﾞ)</t>
  </si>
  <si>
    <t>100A(ﾌﾗﾝｼﾞ)</t>
  </si>
  <si>
    <t>125A(ﾌﾗﾝｼﾞ)</t>
  </si>
  <si>
    <t>150A(ﾌﾗﾝｼﾞ)</t>
  </si>
  <si>
    <t>200A(ﾌﾗﾝｼﾞ)</t>
  </si>
  <si>
    <t>15A(FH)</t>
  </si>
  <si>
    <t>20A(FH)</t>
  </si>
  <si>
    <t>25A(FH)</t>
  </si>
  <si>
    <t>32A(FH)</t>
  </si>
  <si>
    <t>40A(FH)</t>
  </si>
  <si>
    <t>50A(FH)</t>
  </si>
  <si>
    <t>65A(FH)</t>
  </si>
  <si>
    <t>80A(FH)</t>
  </si>
  <si>
    <t>ﾁｬｯｷ弁</t>
  </si>
  <si>
    <t>個</t>
  </si>
  <si>
    <t>15A(ｽｲﾝｸﾞ)</t>
  </si>
  <si>
    <t>20A(ｽｲﾝｸﾞ)</t>
  </si>
  <si>
    <t>25A(ｽｲﾝｸﾞ)</t>
  </si>
  <si>
    <t>32A(ｽｲﾝｸﾞ)</t>
  </si>
  <si>
    <t>40A(ｽｲﾝｸﾞ)</t>
  </si>
  <si>
    <t>50A(ｽｲﾝｸﾞ)</t>
  </si>
  <si>
    <t xml:space="preserve">50A(ｳｴﾊ)       </t>
  </si>
  <si>
    <t>65A(ｳｴﾊ)</t>
  </si>
  <si>
    <t>80A(ｳｴﾊ)</t>
  </si>
  <si>
    <t>100A(ｳｴﾊ)</t>
  </si>
  <si>
    <t>125A(ｳｴﾊ)</t>
  </si>
  <si>
    <t>150A(ｳｴﾊ)</t>
  </si>
  <si>
    <t>200A(ｳｴﾊ)</t>
  </si>
  <si>
    <t>250A(ｳｴﾊ)</t>
  </si>
  <si>
    <t>300A(ｳｴﾊ)</t>
  </si>
  <si>
    <t>ﾊﾞﾀﾌﾗｲ弁</t>
    <rPh sb="6" eb="7">
      <t>ベン</t>
    </rPh>
    <phoneticPr fontId="4"/>
  </si>
  <si>
    <t>50A(ｳｴﾊ)</t>
  </si>
  <si>
    <t>ｸﾞﾛｰﾌﾞ弁</t>
    <rPh sb="6" eb="7">
      <t>ベン</t>
    </rPh>
    <phoneticPr fontId="4"/>
  </si>
  <si>
    <t>ﾏﾚｰﾌﾞﾙ弁</t>
  </si>
  <si>
    <t>ﾎﾞｰﾙ弁(2方)</t>
  </si>
  <si>
    <t>ﾎﾞｰﾙ弁(3方)</t>
  </si>
  <si>
    <t>ﾎﾞｰﾙ弁(ｱﾝｸﾞﾙ)</t>
    <rPh sb="4" eb="5">
      <t>ベン</t>
    </rPh>
    <phoneticPr fontId="4"/>
  </si>
  <si>
    <t>ﾎﾞｰﾙ弁(2方)</t>
    <rPh sb="4" eb="5">
      <t>ベン</t>
    </rPh>
    <rPh sb="7" eb="8">
      <t>ホウ</t>
    </rPh>
    <phoneticPr fontId="4"/>
  </si>
  <si>
    <t>15A(G-FF)</t>
  </si>
  <si>
    <t>20A(G-FF)</t>
  </si>
  <si>
    <t>25A(G-FF)</t>
  </si>
  <si>
    <t>Yｽﾄﾚｰﾅ</t>
  </si>
  <si>
    <t>250A(ﾌﾗﾝｼﾞ)</t>
  </si>
  <si>
    <t>300A(ﾌﾗﾝｼﾞ)</t>
  </si>
  <si>
    <t>ｵｲﾙｽﾄﾚｰﾅ(複式)</t>
  </si>
  <si>
    <t>20A(ﾌﾗﾝｼﾞ)</t>
  </si>
  <si>
    <t>25A(ﾌﾗﾝｼﾞ)</t>
  </si>
  <si>
    <t>32A(ﾌﾗﾝｼﾞ)</t>
  </si>
  <si>
    <t>40A(ﾌﾗﾝｼﾞ)</t>
  </si>
  <si>
    <t>電動ﾎﾞｰﾙ弁(2方)</t>
    <rPh sb="0" eb="2">
      <t>デンドウ</t>
    </rPh>
    <rPh sb="6" eb="7">
      <t>ベン</t>
    </rPh>
    <rPh sb="9" eb="10">
      <t>ホウ</t>
    </rPh>
    <phoneticPr fontId="4"/>
  </si>
  <si>
    <t xml:space="preserve">個  </t>
  </si>
  <si>
    <t>電動ﾎﾞｰﾙ弁(3方)</t>
    <rPh sb="0" eb="2">
      <t>デンドウ</t>
    </rPh>
    <rPh sb="6" eb="7">
      <t>ベン</t>
    </rPh>
    <rPh sb="9" eb="10">
      <t>ホウ</t>
    </rPh>
    <phoneticPr fontId="4"/>
  </si>
  <si>
    <t>電動ﾊﾞﾀﾌﾗｲ弁</t>
    <rPh sb="0" eb="2">
      <t>デンドウ</t>
    </rPh>
    <rPh sb="8" eb="9">
      <t>ベン</t>
    </rPh>
    <phoneticPr fontId="1"/>
  </si>
  <si>
    <t>電動混合三方弁(ﾎﾞｰﾙ)</t>
  </si>
  <si>
    <t>ｾｯﾄ</t>
  </si>
  <si>
    <t>電動混合三方弁(ﾌﾗﾝｼﾞ)</t>
  </si>
  <si>
    <t>ﾌﾚｷｼﾞｮｲﾝﾄ(U)</t>
  </si>
  <si>
    <t>本</t>
  </si>
  <si>
    <t>15A*300L</t>
  </si>
  <si>
    <t>20A*300L</t>
  </si>
  <si>
    <t>25A*300L</t>
  </si>
  <si>
    <t>32A*300L</t>
  </si>
  <si>
    <t>40A*300L</t>
  </si>
  <si>
    <t>50A*300L</t>
  </si>
  <si>
    <t>ﾌﾚｷｼﾞｮｲﾝﾄ(F)</t>
  </si>
  <si>
    <t>65A*300L</t>
  </si>
  <si>
    <t>80A*300L</t>
  </si>
  <si>
    <t>100A*300L</t>
  </si>
  <si>
    <t>125A*300L</t>
  </si>
  <si>
    <t>150A*300L</t>
  </si>
  <si>
    <t>200A*300L</t>
  </si>
  <si>
    <t>15A*500L</t>
  </si>
  <si>
    <t>20A*500L</t>
  </si>
  <si>
    <t>25A*500L</t>
  </si>
  <si>
    <t>32A*500L</t>
  </si>
  <si>
    <t>40A*500L</t>
  </si>
  <si>
    <t>50A*500L</t>
  </si>
  <si>
    <t>65A*500L</t>
  </si>
  <si>
    <t>80A*500L</t>
  </si>
  <si>
    <t>100A*500L</t>
  </si>
  <si>
    <t>125A*500L</t>
  </si>
  <si>
    <t>150A*500L</t>
  </si>
  <si>
    <t>200A*500L</t>
  </si>
  <si>
    <t>32A*800L</t>
  </si>
  <si>
    <t>40A*800L</t>
  </si>
  <si>
    <t>50A*800L</t>
  </si>
  <si>
    <t>65A*800L</t>
  </si>
  <si>
    <t>80A*800L</t>
  </si>
  <si>
    <t>100A*800L</t>
  </si>
  <si>
    <t>125A*800L</t>
  </si>
  <si>
    <t>150A*800L</t>
  </si>
  <si>
    <t>200A*800L</t>
  </si>
  <si>
    <t>ﾎﾞｰﾙﾌﾚｷｼﾞｮｲﾝﾄ</t>
  </si>
  <si>
    <t>32A*125L</t>
  </si>
  <si>
    <t>40A*125L</t>
  </si>
  <si>
    <t>50A*125L</t>
  </si>
  <si>
    <t>65A*125L</t>
  </si>
  <si>
    <t>80A*125L</t>
  </si>
  <si>
    <t>100A*150L</t>
  </si>
  <si>
    <t>125A*175L</t>
  </si>
  <si>
    <t>150A*200L</t>
  </si>
  <si>
    <t>200A*200L</t>
  </si>
  <si>
    <t>250A*250L</t>
  </si>
  <si>
    <t>伸縮継手</t>
  </si>
  <si>
    <t>20A(複式)</t>
  </si>
  <si>
    <t>25A(複式)</t>
  </si>
  <si>
    <t>32A(複式)</t>
  </si>
  <si>
    <t>40A(複式)</t>
  </si>
  <si>
    <t>50A(複式)</t>
  </si>
  <si>
    <t>65A(複式)</t>
  </si>
  <si>
    <t>80A(複式)</t>
  </si>
  <si>
    <t>100A(複式)</t>
  </si>
  <si>
    <t>125A(複式)</t>
  </si>
  <si>
    <t>150A(複式)</t>
  </si>
  <si>
    <t>200A(複式)</t>
  </si>
  <si>
    <t>250A(複式)</t>
  </si>
  <si>
    <t>ﾒｶﾆｶﾙ配管接手</t>
    <rPh sb="5" eb="7">
      <t>ハイカン</t>
    </rPh>
    <rPh sb="7" eb="9">
      <t>ツギテ</t>
    </rPh>
    <phoneticPr fontId="1"/>
  </si>
  <si>
    <t>ｿｹｯﾄ 15Ａ</t>
  </si>
  <si>
    <t>ｿｹｯﾄ 20Ａ</t>
  </si>
  <si>
    <t>ｿｹｯﾄ 25Ａ</t>
  </si>
  <si>
    <t>ｿｹｯﾄ 32Ａ</t>
  </si>
  <si>
    <t>ｿｹｯﾄ 40Ａ</t>
  </si>
  <si>
    <t>ｿｹｯﾄ 50Ａ</t>
  </si>
  <si>
    <t>ｿｹｯﾄ 65Ａ</t>
  </si>
  <si>
    <t>ｿｹｯﾄ 80Ａ</t>
  </si>
  <si>
    <t>ｴﾙﾎﾞ 15Ａ</t>
  </si>
  <si>
    <t>ｴﾙﾎﾞ 20Ａ</t>
  </si>
  <si>
    <t>ｴﾙﾎﾞ 25Ａ</t>
  </si>
  <si>
    <t>ｴﾙﾎﾞ 32Ａ</t>
  </si>
  <si>
    <t>ｴﾙﾎﾞ 40Ａ</t>
  </si>
  <si>
    <t>ｴﾙﾎﾞ 50Ａ</t>
  </si>
  <si>
    <t>ｴﾙﾎﾞ 65Ａ</t>
  </si>
  <si>
    <t>ｴﾙﾎﾞ 80Ａ</t>
  </si>
  <si>
    <t>異径ﾁｰｽﾞ32×15</t>
    <rPh sb="0" eb="1">
      <t>イ</t>
    </rPh>
    <rPh sb="1" eb="2">
      <t>ケイ</t>
    </rPh>
    <phoneticPr fontId="1"/>
  </si>
  <si>
    <t>異径ﾁｰｽﾞ32×20</t>
    <rPh sb="0" eb="1">
      <t>イ</t>
    </rPh>
    <rPh sb="1" eb="2">
      <t>ケイ</t>
    </rPh>
    <phoneticPr fontId="1"/>
  </si>
  <si>
    <t>異径ﾁｰｽﾞ40×15</t>
    <rPh sb="0" eb="1">
      <t>イ</t>
    </rPh>
    <rPh sb="1" eb="2">
      <t>ケイ</t>
    </rPh>
    <phoneticPr fontId="1"/>
  </si>
  <si>
    <t>異径ﾁｰｽﾞ40×20</t>
    <rPh sb="0" eb="1">
      <t>イ</t>
    </rPh>
    <rPh sb="1" eb="2">
      <t>ケイ</t>
    </rPh>
    <phoneticPr fontId="1"/>
  </si>
  <si>
    <t>異径ﾁｰｽﾞ50×15</t>
    <rPh sb="0" eb="1">
      <t>イ</t>
    </rPh>
    <rPh sb="1" eb="2">
      <t>ケイ</t>
    </rPh>
    <phoneticPr fontId="1"/>
  </si>
  <si>
    <t>異径ﾁｰｽﾞ50×20</t>
    <rPh sb="0" eb="1">
      <t>イ</t>
    </rPh>
    <rPh sb="1" eb="2">
      <t>ケイ</t>
    </rPh>
    <phoneticPr fontId="1"/>
  </si>
  <si>
    <t xml:space="preserve">減圧弁(蒸気用)    </t>
    <rPh sb="4" eb="6">
      <t>ジョウキ</t>
    </rPh>
    <rPh sb="6" eb="7">
      <t>ヨウ</t>
    </rPh>
    <phoneticPr fontId="1"/>
  </si>
  <si>
    <t>15A RP9-L</t>
  </si>
  <si>
    <t xml:space="preserve">減圧弁(蒸気用)    </t>
  </si>
  <si>
    <t>20A RP9-L</t>
  </si>
  <si>
    <t xml:space="preserve">減圧弁(蒸気用)     </t>
  </si>
  <si>
    <t>25A RP9-L</t>
  </si>
  <si>
    <t>32A RP9-L</t>
  </si>
  <si>
    <t>40A RP9-L</t>
  </si>
  <si>
    <t>50A RP9-L</t>
  </si>
  <si>
    <t>65A RP9-L</t>
  </si>
  <si>
    <t>80A RP9-L</t>
  </si>
  <si>
    <t>100A RP9-L</t>
  </si>
  <si>
    <t>温度調節弁</t>
  </si>
  <si>
    <t>25A TD-2</t>
  </si>
  <si>
    <t>32A TD-2</t>
  </si>
  <si>
    <t>40A TD-2</t>
  </si>
  <si>
    <t>50A TD-2</t>
  </si>
  <si>
    <t>65A TD-2</t>
  </si>
  <si>
    <t>80A TD-2</t>
  </si>
  <si>
    <t>100A TD-2</t>
  </si>
  <si>
    <t xml:space="preserve">管末ﾄﾗｯﾌﾟ </t>
  </si>
  <si>
    <t>15A AK-1H</t>
  </si>
  <si>
    <t>20A AK-1H</t>
  </si>
  <si>
    <t>25A AK-1H</t>
  </si>
  <si>
    <t xml:space="preserve">多量ﾄﾗｯﾌﾟ </t>
  </si>
  <si>
    <t>20A AF-11H</t>
  </si>
  <si>
    <t>25A AF-11H</t>
  </si>
  <si>
    <t>32A AF-11H</t>
  </si>
  <si>
    <t>40A AF-11H</t>
  </si>
  <si>
    <t>50A AF-11H</t>
  </si>
  <si>
    <t xml:space="preserve">安全弁 </t>
  </si>
  <si>
    <t>15A SL-37-D</t>
  </si>
  <si>
    <t>20A SL-37-D</t>
  </si>
  <si>
    <t>25A SL-37-D</t>
  </si>
  <si>
    <t>32A SL-37-D</t>
  </si>
  <si>
    <t>40A SL-37-D</t>
  </si>
  <si>
    <t>50A SL-37-D</t>
  </si>
  <si>
    <t>減圧弁(水用)</t>
    <rPh sb="0" eb="2">
      <t>ゲンアツ</t>
    </rPh>
    <rPh sb="2" eb="3">
      <t>ベン</t>
    </rPh>
    <phoneticPr fontId="1"/>
  </si>
  <si>
    <t>15A RD-31</t>
  </si>
  <si>
    <t>20A RD-31</t>
  </si>
  <si>
    <t>25A RD-31</t>
  </si>
  <si>
    <t>32A RD-31</t>
  </si>
  <si>
    <t>40A RD-31</t>
  </si>
  <si>
    <t>50A RD-31</t>
  </si>
  <si>
    <t>落水防止弁</t>
    <rPh sb="0" eb="2">
      <t>ラクスイ</t>
    </rPh>
    <rPh sb="2" eb="4">
      <t>ボウシ</t>
    </rPh>
    <rPh sb="4" eb="5">
      <t>ベン</t>
    </rPh>
    <phoneticPr fontId="1"/>
  </si>
  <si>
    <t>MD-20H 40A</t>
  </si>
  <si>
    <t>MD-20H 50A</t>
  </si>
  <si>
    <t>MD-20H 65A</t>
  </si>
  <si>
    <t>MD-20H 80A</t>
  </si>
  <si>
    <t>MD-20H 100A</t>
  </si>
  <si>
    <t>MD-20H 125A</t>
  </si>
  <si>
    <t>MD-20H 150A</t>
  </si>
  <si>
    <t xml:space="preserve">温度計      </t>
  </si>
  <si>
    <t>丸L形 120℃</t>
  </si>
  <si>
    <t>丸S形 120℃</t>
  </si>
  <si>
    <t>φ80 120℃</t>
  </si>
  <si>
    <t xml:space="preserve">水高温度計  </t>
  </si>
  <si>
    <t>φ100 S形</t>
  </si>
  <si>
    <t>φ100 L形</t>
  </si>
  <si>
    <t xml:space="preserve">圧力計      </t>
  </si>
  <si>
    <t>φ100 10m</t>
  </si>
  <si>
    <t>φ100</t>
  </si>
  <si>
    <t xml:space="preserve">ｻｲﾎﾝﾊﾟｲﾌﾟ   </t>
  </si>
  <si>
    <t>空気抜弁</t>
  </si>
  <si>
    <t>15A(AF-4M)</t>
  </si>
  <si>
    <t>空気抜弁(逆止弁付）</t>
    <rPh sb="5" eb="6">
      <t>ギャク</t>
    </rPh>
    <rPh sb="6" eb="7">
      <t>ト</t>
    </rPh>
    <rPh sb="7" eb="8">
      <t>ベン</t>
    </rPh>
    <rPh sb="8" eb="9">
      <t>ツキ</t>
    </rPh>
    <phoneticPr fontId="1"/>
  </si>
  <si>
    <t>15A(AF-9H)</t>
  </si>
  <si>
    <t>15A(AF-10H)</t>
  </si>
  <si>
    <t>15A(小型)</t>
    <rPh sb="4" eb="6">
      <t>コガタ</t>
    </rPh>
    <phoneticPr fontId="1"/>
  </si>
  <si>
    <t xml:space="preserve">油配管ｾｯﾄ   </t>
  </si>
  <si>
    <t>BOP-CU5M</t>
  </si>
  <si>
    <t>101678000</t>
  </si>
  <si>
    <t>BOP-CU10M</t>
  </si>
  <si>
    <t>101674000</t>
  </si>
  <si>
    <t>BOP-CU20M</t>
  </si>
  <si>
    <t>103313000</t>
  </si>
  <si>
    <t>BOP-805M</t>
  </si>
  <si>
    <t>105296000</t>
  </si>
  <si>
    <t>BOP-810M</t>
  </si>
  <si>
    <t>105297000</t>
  </si>
  <si>
    <t>逃し管ｾｯﾄ</t>
    <rPh sb="0" eb="1">
      <t>ニガ</t>
    </rPh>
    <rPh sb="2" eb="3">
      <t>クダ</t>
    </rPh>
    <phoneticPr fontId="1"/>
  </si>
  <si>
    <t>BOP-EP8M</t>
  </si>
  <si>
    <t>046602000</t>
  </si>
  <si>
    <t>ﾌﾚｷｼﾌﾞﾙﾎｰｽ</t>
  </si>
  <si>
    <t>3/8B×1500 SUS</t>
  </si>
  <si>
    <t>181612000</t>
  </si>
  <si>
    <t>注油口</t>
    <rPh sb="0" eb="2">
      <t>チュウユ</t>
    </rPh>
    <rPh sb="2" eb="3">
      <t>クチ</t>
    </rPh>
    <phoneticPr fontId="1"/>
  </si>
  <si>
    <t xml:space="preserve">ｷﾞﾔﾎﾟﾝﾌﾟ  </t>
  </si>
  <si>
    <t>台</t>
  </si>
  <si>
    <t>φ12 0.2 kw</t>
  </si>
  <si>
    <t>φ12 0.4 kw</t>
  </si>
  <si>
    <t>φ15 0.4 kw</t>
  </si>
  <si>
    <t>φ15 0.75kw</t>
  </si>
  <si>
    <t>φ20 0.75kw</t>
  </si>
  <si>
    <t>φ20 1.5 kw</t>
  </si>
  <si>
    <t>保温(ｶﾗｰﾗｯｷﾝｸﾞ)</t>
  </si>
  <si>
    <t xml:space="preserve">保温(ｶﾗｰﾗｯｷﾝｸﾞ) </t>
  </si>
  <si>
    <t>保温(ｽﾃﾝﾗｯｷﾝｸﾞ)</t>
  </si>
  <si>
    <t>保温(ﾃｰﾌﾟ巻)</t>
    <rPh sb="7" eb="8">
      <t>マキ</t>
    </rPh>
    <phoneticPr fontId="1"/>
  </si>
  <si>
    <t>煙道保温工事</t>
  </si>
  <si>
    <t xml:space="preserve"> ㎡</t>
  </si>
  <si>
    <t>ﾛｯｸｳｰﾙ</t>
  </si>
  <si>
    <t>ﾀﾝｸ 保温工事</t>
  </si>
  <si>
    <t>ｸﾞﾗｽﾛﾝ</t>
  </si>
  <si>
    <t>同上保温工事</t>
  </si>
  <si>
    <t>保温(亀甲巻き)</t>
    <rPh sb="0" eb="2">
      <t>ホオン</t>
    </rPh>
    <rPh sb="3" eb="5">
      <t>キッコウ</t>
    </rPh>
    <rPh sb="5" eb="6">
      <t>マ</t>
    </rPh>
    <phoneticPr fontId="1"/>
  </si>
  <si>
    <t>保温(亀甲巻き)</t>
  </si>
  <si>
    <t>ﾀﾝｸ保温工事</t>
  </si>
  <si>
    <t xml:space="preserve">ﾗｲﾄｶﾊﾞｰ   </t>
  </si>
  <si>
    <t xml:space="preserve"> ｍ</t>
  </si>
  <si>
    <t>ﾊﾟｲﾌﾟｶﾞｰﾄﾞ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</si>
</sst>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游ゴシック"/>
      <family val="2"/>
      <scheme val="minor"/>
    </font>
    <font>
      <sz val="18"/>
      <color theme="3"/>
      <name val="游ゴシック Light"/>
      <family val="2"/>
      <charset val="128"/>
      <scheme val="major"/>
    </font>
    <font>
      <sz val="11"/>
      <color rgb="FF3F3F7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6"/>
  <sheetViews>
    <sheetView tabSelected="1" workbookViewId="0"/>
  </sheetViews>
  <sheetFormatPr defaultColWidth="20.796875"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f>ROUND(C21/4,-1)</f>
        <v>9320</v>
      </c>
      <c r="D2" t="s">
        <v>9</v>
      </c>
      <c r="E2">
        <f t="shared" ref="E2:E10" si="0">ROUND(E21/4,-1)</f>
        <v>5220</v>
      </c>
      <c r="F2">
        <v>0.12</v>
      </c>
    </row>
    <row r="3" spans="1:7" x14ac:dyDescent="0.45">
      <c r="A3" t="s">
        <v>7</v>
      </c>
      <c r="B3" t="s">
        <v>8</v>
      </c>
      <c r="C3">
        <f>ROUND(C22/4,-1)</f>
        <v>13310</v>
      </c>
      <c r="D3" t="s">
        <v>10</v>
      </c>
      <c r="E3">
        <f t="shared" si="0"/>
        <v>7450</v>
      </c>
      <c r="F3">
        <v>0.14000000000000001</v>
      </c>
    </row>
    <row r="4" spans="1:7" x14ac:dyDescent="0.45">
      <c r="A4" t="s">
        <v>7</v>
      </c>
      <c r="B4" t="s">
        <v>8</v>
      </c>
      <c r="C4">
        <f>ROUND(C23/4,-1)</f>
        <v>15960</v>
      </c>
      <c r="D4" t="s">
        <v>11</v>
      </c>
      <c r="E4">
        <f t="shared" si="0"/>
        <v>8940</v>
      </c>
      <c r="F4">
        <v>0.17</v>
      </c>
    </row>
    <row r="5" spans="1:7" x14ac:dyDescent="0.45">
      <c r="A5" t="s">
        <v>7</v>
      </c>
      <c r="B5" t="s">
        <v>8</v>
      </c>
      <c r="C5">
        <f>ROUND(C24/4,-1)</f>
        <v>22960</v>
      </c>
      <c r="D5" t="s">
        <v>12</v>
      </c>
      <c r="E5">
        <f t="shared" si="0"/>
        <v>12850</v>
      </c>
      <c r="F5">
        <v>0.21</v>
      </c>
    </row>
    <row r="6" spans="1:7" x14ac:dyDescent="0.45">
      <c r="A6" t="s">
        <v>7</v>
      </c>
      <c r="B6" t="s">
        <v>8</v>
      </c>
      <c r="C6">
        <f>ROUND(C25/4,-1)</f>
        <v>33490</v>
      </c>
      <c r="D6" t="s">
        <v>13</v>
      </c>
      <c r="E6">
        <f t="shared" si="0"/>
        <v>18750</v>
      </c>
      <c r="F6">
        <v>0.23</v>
      </c>
    </row>
    <row r="7" spans="1:7" x14ac:dyDescent="0.45">
      <c r="A7" t="s">
        <v>7</v>
      </c>
      <c r="B7" t="s">
        <v>8</v>
      </c>
      <c r="C7">
        <f>ROUND(C26/4,-1)</f>
        <v>45680</v>
      </c>
      <c r="D7" t="s">
        <v>14</v>
      </c>
      <c r="E7">
        <f t="shared" si="0"/>
        <v>25580</v>
      </c>
      <c r="F7">
        <v>0.28999999999999998</v>
      </c>
    </row>
    <row r="8" spans="1:7" x14ac:dyDescent="0.45">
      <c r="A8" t="s">
        <v>7</v>
      </c>
      <c r="B8" t="s">
        <v>8</v>
      </c>
      <c r="C8">
        <f>ROUND(C27/4,-1)</f>
        <v>69550</v>
      </c>
      <c r="D8" t="s">
        <v>15</v>
      </c>
      <c r="E8">
        <f t="shared" si="0"/>
        <v>38950</v>
      </c>
      <c r="F8">
        <v>0.37</v>
      </c>
    </row>
    <row r="9" spans="1:7" x14ac:dyDescent="0.45">
      <c r="A9" t="s">
        <v>7</v>
      </c>
      <c r="B9" t="s">
        <v>8</v>
      </c>
      <c r="C9">
        <f>ROUND(C28/4,-1)</f>
        <v>97610</v>
      </c>
      <c r="D9" t="s">
        <v>16</v>
      </c>
      <c r="E9">
        <f t="shared" si="0"/>
        <v>54660</v>
      </c>
      <c r="F9">
        <v>0.42</v>
      </c>
    </row>
    <row r="10" spans="1:7" x14ac:dyDescent="0.45">
      <c r="A10" t="s">
        <v>7</v>
      </c>
      <c r="B10" t="s">
        <v>8</v>
      </c>
      <c r="C10">
        <f>ROUND(C29/4,-1)</f>
        <v>122340</v>
      </c>
      <c r="D10" t="s">
        <v>17</v>
      </c>
      <c r="E10">
        <f t="shared" si="0"/>
        <v>68510</v>
      </c>
      <c r="F10">
        <v>0.56999999999999995</v>
      </c>
    </row>
    <row r="11" spans="1:7" x14ac:dyDescent="0.45">
      <c r="A11" t="s">
        <v>18</v>
      </c>
      <c r="B11" t="s">
        <v>8</v>
      </c>
      <c r="C11">
        <f>ROUND(C30/5.5,-1)</f>
        <v>270</v>
      </c>
      <c r="D11" t="s">
        <v>19</v>
      </c>
      <c r="E11">
        <f t="shared" ref="E11:E15" si="1">ROUND(E30/5.5,-1)</f>
        <v>150</v>
      </c>
      <c r="F11">
        <v>0.69</v>
      </c>
    </row>
    <row r="12" spans="1:7" x14ac:dyDescent="0.45">
      <c r="A12" t="s">
        <v>18</v>
      </c>
      <c r="B12" t="s">
        <v>8</v>
      </c>
      <c r="C12">
        <f>ROUND(C31/5.5,-1)</f>
        <v>340</v>
      </c>
      <c r="D12" t="s">
        <v>20</v>
      </c>
      <c r="E12">
        <f t="shared" si="1"/>
        <v>190</v>
      </c>
      <c r="F12">
        <v>0.88</v>
      </c>
    </row>
    <row r="13" spans="1:7" x14ac:dyDescent="0.45">
      <c r="A13" t="s">
        <v>18</v>
      </c>
      <c r="B13" t="s">
        <v>8</v>
      </c>
      <c r="C13">
        <f>ROUND(C32/5.5,-1)</f>
        <v>520</v>
      </c>
      <c r="D13" t="s">
        <v>21</v>
      </c>
      <c r="E13">
        <f t="shared" si="1"/>
        <v>290</v>
      </c>
      <c r="F13">
        <v>1.26</v>
      </c>
    </row>
    <row r="14" spans="1:7" x14ac:dyDescent="0.45">
      <c r="A14" t="s">
        <v>18</v>
      </c>
      <c r="B14" t="s">
        <v>8</v>
      </c>
      <c r="C14">
        <f>ROUND(C33/5.5,-1)</f>
        <v>610</v>
      </c>
      <c r="D14" t="s">
        <v>22</v>
      </c>
      <c r="E14">
        <f t="shared" si="1"/>
        <v>340</v>
      </c>
      <c r="F14">
        <v>1.79</v>
      </c>
    </row>
    <row r="15" spans="1:7" x14ac:dyDescent="0.45">
      <c r="A15" t="s">
        <v>18</v>
      </c>
      <c r="B15" t="s">
        <v>8</v>
      </c>
      <c r="C15">
        <f>ROUND(C34/5.5,-1)</f>
        <v>890</v>
      </c>
      <c r="D15" t="s">
        <v>23</v>
      </c>
      <c r="E15">
        <f t="shared" si="1"/>
        <v>500</v>
      </c>
      <c r="F15">
        <v>2.37</v>
      </c>
    </row>
    <row r="16" spans="1:7" x14ac:dyDescent="0.45">
      <c r="A16" t="s">
        <v>7</v>
      </c>
      <c r="B16" t="s">
        <v>24</v>
      </c>
      <c r="C16">
        <v>10450</v>
      </c>
      <c r="D16" t="s">
        <v>9</v>
      </c>
      <c r="E16">
        <f>C16*0.56</f>
        <v>5852.0000000000009</v>
      </c>
    </row>
    <row r="17" spans="1:6" x14ac:dyDescent="0.45">
      <c r="A17" t="s">
        <v>7</v>
      </c>
      <c r="B17" t="s">
        <v>24</v>
      </c>
      <c r="C17">
        <v>12740</v>
      </c>
      <c r="D17" t="s">
        <v>10</v>
      </c>
      <c r="E17">
        <f>C17*0.56</f>
        <v>7134.4000000000005</v>
      </c>
    </row>
    <row r="18" spans="1:6" x14ac:dyDescent="0.45">
      <c r="A18" t="s">
        <v>7</v>
      </c>
      <c r="B18" t="s">
        <v>24</v>
      </c>
      <c r="C18">
        <v>17890</v>
      </c>
      <c r="D18" t="s">
        <v>11</v>
      </c>
      <c r="E18">
        <f>C18*0.56</f>
        <v>10018.400000000001</v>
      </c>
    </row>
    <row r="19" spans="1:6" x14ac:dyDescent="0.45">
      <c r="A19" t="s">
        <v>7</v>
      </c>
      <c r="B19" t="s">
        <v>24</v>
      </c>
      <c r="C19">
        <v>23770</v>
      </c>
      <c r="D19" t="s">
        <v>12</v>
      </c>
      <c r="E19">
        <f>C19*0.56</f>
        <v>13311.2</v>
      </c>
    </row>
    <row r="20" spans="1:6" x14ac:dyDescent="0.45">
      <c r="A20" t="s">
        <v>7</v>
      </c>
      <c r="B20" t="s">
        <v>24</v>
      </c>
      <c r="C20">
        <v>27190</v>
      </c>
      <c r="D20" t="s">
        <v>13</v>
      </c>
      <c r="E20">
        <f>C20*0.56</f>
        <v>15226.400000000001</v>
      </c>
    </row>
    <row r="21" spans="1:6" x14ac:dyDescent="0.45">
      <c r="A21" t="s">
        <v>7</v>
      </c>
      <c r="B21" t="s">
        <v>24</v>
      </c>
      <c r="C21">
        <v>37270</v>
      </c>
      <c r="D21" t="s">
        <v>14</v>
      </c>
      <c r="E21">
        <f>C21*0.56</f>
        <v>20871.2</v>
      </c>
    </row>
    <row r="22" spans="1:6" x14ac:dyDescent="0.45">
      <c r="A22" t="s">
        <v>7</v>
      </c>
      <c r="B22" t="s">
        <v>24</v>
      </c>
      <c r="C22">
        <v>53240</v>
      </c>
      <c r="D22" t="s">
        <v>15</v>
      </c>
      <c r="E22">
        <f>C22*0.56</f>
        <v>29814.400000000001</v>
      </c>
    </row>
    <row r="23" spans="1:6" x14ac:dyDescent="0.45">
      <c r="A23" t="s">
        <v>7</v>
      </c>
      <c r="B23" t="s">
        <v>24</v>
      </c>
      <c r="C23">
        <v>63840</v>
      </c>
      <c r="D23" t="s">
        <v>16</v>
      </c>
      <c r="E23">
        <f>C23*0.56</f>
        <v>35750.400000000001</v>
      </c>
    </row>
    <row r="24" spans="1:6" x14ac:dyDescent="0.45">
      <c r="A24" t="s">
        <v>7</v>
      </c>
      <c r="B24" t="s">
        <v>24</v>
      </c>
      <c r="C24">
        <v>91820</v>
      </c>
      <c r="D24" t="s">
        <v>17</v>
      </c>
      <c r="E24">
        <f>C24*0.56</f>
        <v>51419.200000000004</v>
      </c>
    </row>
    <row r="25" spans="1:6" x14ac:dyDescent="0.45">
      <c r="A25" t="s">
        <v>18</v>
      </c>
      <c r="B25" t="s">
        <v>25</v>
      </c>
      <c r="C25">
        <v>133950</v>
      </c>
      <c r="D25" t="s">
        <v>19</v>
      </c>
      <c r="E25">
        <f>C25*0.56</f>
        <v>75012</v>
      </c>
    </row>
    <row r="26" spans="1:6" x14ac:dyDescent="0.45">
      <c r="A26" t="s">
        <v>18</v>
      </c>
      <c r="B26" t="s">
        <v>25</v>
      </c>
      <c r="C26">
        <v>182700</v>
      </c>
      <c r="D26" t="s">
        <v>20</v>
      </c>
      <c r="E26">
        <f>C26*0.56</f>
        <v>102312.00000000001</v>
      </c>
    </row>
    <row r="27" spans="1:6" x14ac:dyDescent="0.45">
      <c r="A27" t="s">
        <v>18</v>
      </c>
      <c r="B27" t="s">
        <v>25</v>
      </c>
      <c r="C27">
        <v>278200</v>
      </c>
      <c r="D27" t="s">
        <v>21</v>
      </c>
      <c r="E27">
        <f>C27*0.56</f>
        <v>155792.00000000003</v>
      </c>
    </row>
    <row r="28" spans="1:6" x14ac:dyDescent="0.45">
      <c r="A28" t="s">
        <v>18</v>
      </c>
      <c r="B28" t="s">
        <v>25</v>
      </c>
      <c r="C28">
        <v>390450</v>
      </c>
      <c r="D28" t="s">
        <v>22</v>
      </c>
      <c r="E28">
        <f>C28*0.56</f>
        <v>218652.00000000003</v>
      </c>
    </row>
    <row r="29" spans="1:6" x14ac:dyDescent="0.45">
      <c r="A29" t="s">
        <v>18</v>
      </c>
      <c r="B29" t="s">
        <v>25</v>
      </c>
      <c r="C29">
        <v>489350</v>
      </c>
      <c r="D29" t="s">
        <v>23</v>
      </c>
      <c r="E29">
        <f>C29*0.56</f>
        <v>274036</v>
      </c>
    </row>
    <row r="30" spans="1:6" x14ac:dyDescent="0.45">
      <c r="A30" t="s">
        <v>26</v>
      </c>
      <c r="B30" t="s">
        <v>8</v>
      </c>
      <c r="C30">
        <v>1510</v>
      </c>
      <c r="D30" t="s">
        <v>27</v>
      </c>
      <c r="E30">
        <v>850</v>
      </c>
      <c r="F30">
        <v>0.23</v>
      </c>
    </row>
    <row r="31" spans="1:6" x14ac:dyDescent="0.45">
      <c r="A31" t="s">
        <v>26</v>
      </c>
      <c r="B31" t="s">
        <v>8</v>
      </c>
      <c r="C31">
        <v>1850</v>
      </c>
      <c r="D31" t="s">
        <v>28</v>
      </c>
      <c r="E31">
        <v>1040</v>
      </c>
      <c r="F31">
        <v>0.28999999999999998</v>
      </c>
    </row>
    <row r="32" spans="1:6" x14ac:dyDescent="0.45">
      <c r="A32" t="s">
        <v>26</v>
      </c>
      <c r="B32" t="s">
        <v>8</v>
      </c>
      <c r="C32">
        <v>2840</v>
      </c>
      <c r="D32" t="s">
        <v>29</v>
      </c>
      <c r="E32">
        <v>1590</v>
      </c>
      <c r="F32">
        <v>0.37</v>
      </c>
    </row>
    <row r="33" spans="1:6" x14ac:dyDescent="0.45">
      <c r="A33" t="s">
        <v>26</v>
      </c>
      <c r="B33" t="s">
        <v>8</v>
      </c>
      <c r="C33">
        <v>3340</v>
      </c>
      <c r="D33" t="s">
        <v>30</v>
      </c>
      <c r="E33">
        <v>1870</v>
      </c>
      <c r="F33">
        <v>0.42</v>
      </c>
    </row>
    <row r="34" spans="1:6" x14ac:dyDescent="0.45">
      <c r="A34" t="s">
        <v>26</v>
      </c>
      <c r="B34" t="s">
        <v>8</v>
      </c>
      <c r="C34">
        <v>4910</v>
      </c>
      <c r="D34" t="s">
        <v>31</v>
      </c>
      <c r="E34">
        <v>2750</v>
      </c>
      <c r="F34">
        <v>0.56999999999999995</v>
      </c>
    </row>
    <row r="35" spans="1:6" x14ac:dyDescent="0.45">
      <c r="A35" t="s">
        <v>26</v>
      </c>
      <c r="B35" t="s">
        <v>8</v>
      </c>
      <c r="C35">
        <v>6780</v>
      </c>
      <c r="D35" t="s">
        <v>32</v>
      </c>
      <c r="E35">
        <v>3800</v>
      </c>
      <c r="F35">
        <v>0.69</v>
      </c>
    </row>
    <row r="36" spans="1:6" x14ac:dyDescent="0.45">
      <c r="A36" t="s">
        <v>26</v>
      </c>
      <c r="B36" t="s">
        <v>8</v>
      </c>
      <c r="C36">
        <v>9970</v>
      </c>
      <c r="D36" t="s">
        <v>33</v>
      </c>
      <c r="E36">
        <v>5580</v>
      </c>
      <c r="F36">
        <v>0.88</v>
      </c>
    </row>
    <row r="37" spans="1:6" x14ac:dyDescent="0.45">
      <c r="A37" t="s">
        <v>26</v>
      </c>
      <c r="B37" t="s">
        <v>8</v>
      </c>
      <c r="C37">
        <v>13160</v>
      </c>
      <c r="D37" t="s">
        <v>34</v>
      </c>
      <c r="E37">
        <v>7370</v>
      </c>
      <c r="F37">
        <v>1.26</v>
      </c>
    </row>
    <row r="38" spans="1:6" x14ac:dyDescent="0.45">
      <c r="A38" t="s">
        <v>26</v>
      </c>
      <c r="B38" t="s">
        <v>8</v>
      </c>
      <c r="C38">
        <v>25200</v>
      </c>
      <c r="D38" t="s">
        <v>35</v>
      </c>
      <c r="E38">
        <v>14110</v>
      </c>
      <c r="F38">
        <v>1.79</v>
      </c>
    </row>
    <row r="39" spans="1:6" x14ac:dyDescent="0.45">
      <c r="A39" t="s">
        <v>26</v>
      </c>
      <c r="B39" t="s">
        <v>8</v>
      </c>
      <c r="C39">
        <v>30130</v>
      </c>
      <c r="D39" t="s">
        <v>36</v>
      </c>
      <c r="E39">
        <v>16870</v>
      </c>
      <c r="F39">
        <v>2.37</v>
      </c>
    </row>
    <row r="40" spans="1:6" x14ac:dyDescent="0.45">
      <c r="A40" t="s">
        <v>37</v>
      </c>
      <c r="B40" t="s">
        <v>39</v>
      </c>
      <c r="C40">
        <v>8320</v>
      </c>
      <c r="D40" t="s">
        <v>27</v>
      </c>
      <c r="E40">
        <v>4660</v>
      </c>
      <c r="F40">
        <v>1.27</v>
      </c>
    </row>
    <row r="41" spans="1:6" x14ac:dyDescent="0.45">
      <c r="A41" t="s">
        <v>37</v>
      </c>
      <c r="B41" t="s">
        <v>39</v>
      </c>
      <c r="C41">
        <v>10160</v>
      </c>
      <c r="D41" t="s">
        <v>28</v>
      </c>
      <c r="E41">
        <v>5690</v>
      </c>
      <c r="F41">
        <v>1.6</v>
      </c>
    </row>
    <row r="42" spans="1:6" x14ac:dyDescent="0.45">
      <c r="A42" t="s">
        <v>37</v>
      </c>
      <c r="B42" t="s">
        <v>39</v>
      </c>
      <c r="C42">
        <v>15650</v>
      </c>
      <c r="D42" t="s">
        <v>29</v>
      </c>
      <c r="E42">
        <v>8760</v>
      </c>
      <c r="F42">
        <v>2.04</v>
      </c>
    </row>
    <row r="43" spans="1:6" x14ac:dyDescent="0.45">
      <c r="A43" t="s">
        <v>37</v>
      </c>
      <c r="B43" t="s">
        <v>39</v>
      </c>
      <c r="C43">
        <v>18360</v>
      </c>
      <c r="D43" t="s">
        <v>30</v>
      </c>
      <c r="E43">
        <v>10280</v>
      </c>
      <c r="F43">
        <v>2.31</v>
      </c>
    </row>
    <row r="44" spans="1:6" x14ac:dyDescent="0.45">
      <c r="A44" t="s">
        <v>37</v>
      </c>
      <c r="B44" t="s">
        <v>39</v>
      </c>
      <c r="C44">
        <v>27010</v>
      </c>
      <c r="D44" t="s">
        <v>31</v>
      </c>
      <c r="E44">
        <v>15130</v>
      </c>
      <c r="F44">
        <v>3.14</v>
      </c>
    </row>
    <row r="45" spans="1:6" x14ac:dyDescent="0.45">
      <c r="A45" t="s">
        <v>37</v>
      </c>
      <c r="B45" t="s">
        <v>39</v>
      </c>
      <c r="C45">
        <v>37270</v>
      </c>
      <c r="D45" t="s">
        <v>32</v>
      </c>
      <c r="E45">
        <v>20870</v>
      </c>
      <c r="F45">
        <v>3.8</v>
      </c>
    </row>
    <row r="46" spans="1:6" x14ac:dyDescent="0.45">
      <c r="A46" t="s">
        <v>37</v>
      </c>
      <c r="B46" t="s">
        <v>39</v>
      </c>
      <c r="C46">
        <v>54820</v>
      </c>
      <c r="D46" t="s">
        <v>33</v>
      </c>
      <c r="E46">
        <v>30700</v>
      </c>
      <c r="F46">
        <v>4.84</v>
      </c>
    </row>
    <row r="47" spans="1:6" x14ac:dyDescent="0.45">
      <c r="A47" t="s">
        <v>37</v>
      </c>
      <c r="B47" t="s">
        <v>39</v>
      </c>
      <c r="C47">
        <v>72380</v>
      </c>
      <c r="D47" t="s">
        <v>34</v>
      </c>
      <c r="E47">
        <v>40530</v>
      </c>
      <c r="F47">
        <v>6.93</v>
      </c>
    </row>
    <row r="48" spans="1:6" x14ac:dyDescent="0.45">
      <c r="A48" t="s">
        <v>37</v>
      </c>
      <c r="B48" t="s">
        <v>39</v>
      </c>
      <c r="C48">
        <v>138600</v>
      </c>
      <c r="D48" t="s">
        <v>35</v>
      </c>
      <c r="E48">
        <v>77620</v>
      </c>
      <c r="F48">
        <v>9.85</v>
      </c>
    </row>
    <row r="49" spans="1:6" x14ac:dyDescent="0.45">
      <c r="A49" t="s">
        <v>37</v>
      </c>
      <c r="B49" t="s">
        <v>39</v>
      </c>
      <c r="C49">
        <v>165700</v>
      </c>
      <c r="D49" t="s">
        <v>36</v>
      </c>
      <c r="E49">
        <v>92790</v>
      </c>
      <c r="F49">
        <v>13.04</v>
      </c>
    </row>
    <row r="50" spans="1:6" x14ac:dyDescent="0.45">
      <c r="A50" t="s">
        <v>26</v>
      </c>
      <c r="B50" t="s">
        <v>40</v>
      </c>
      <c r="C50">
        <v>2.7</v>
      </c>
      <c r="D50" t="s">
        <v>27</v>
      </c>
    </row>
    <row r="51" spans="1:6" x14ac:dyDescent="0.45">
      <c r="A51" t="s">
        <v>26</v>
      </c>
      <c r="B51" t="s">
        <v>40</v>
      </c>
      <c r="C51">
        <v>3.3</v>
      </c>
      <c r="D51" t="s">
        <v>28</v>
      </c>
    </row>
    <row r="52" spans="1:6" x14ac:dyDescent="0.45">
      <c r="A52" t="s">
        <v>26</v>
      </c>
      <c r="B52" t="s">
        <v>40</v>
      </c>
      <c r="C52">
        <v>5.08</v>
      </c>
      <c r="D52" t="s">
        <v>29</v>
      </c>
    </row>
    <row r="53" spans="1:6" x14ac:dyDescent="0.45">
      <c r="A53" t="s">
        <v>26</v>
      </c>
      <c r="B53" t="s">
        <v>40</v>
      </c>
      <c r="C53">
        <v>5.96</v>
      </c>
      <c r="D53" t="s">
        <v>30</v>
      </c>
    </row>
    <row r="54" spans="1:6" x14ac:dyDescent="0.45">
      <c r="A54" t="s">
        <v>26</v>
      </c>
      <c r="B54" t="s">
        <v>40</v>
      </c>
      <c r="C54">
        <v>8.77</v>
      </c>
      <c r="D54" t="s">
        <v>31</v>
      </c>
    </row>
    <row r="55" spans="1:6" x14ac:dyDescent="0.45">
      <c r="A55" t="s">
        <v>26</v>
      </c>
      <c r="B55" t="s">
        <v>40</v>
      </c>
      <c r="C55">
        <v>12.1</v>
      </c>
      <c r="D55" t="s">
        <v>32</v>
      </c>
    </row>
    <row r="56" spans="1:6" x14ac:dyDescent="0.45">
      <c r="A56" t="s">
        <v>26</v>
      </c>
      <c r="B56" t="s">
        <v>40</v>
      </c>
      <c r="C56">
        <v>17.8</v>
      </c>
      <c r="D56" t="s">
        <v>33</v>
      </c>
    </row>
    <row r="57" spans="1:6" x14ac:dyDescent="0.45">
      <c r="A57" t="s">
        <v>26</v>
      </c>
      <c r="B57" t="s">
        <v>40</v>
      </c>
      <c r="C57">
        <v>23.5</v>
      </c>
      <c r="D57" t="s">
        <v>34</v>
      </c>
    </row>
    <row r="58" spans="1:6" x14ac:dyDescent="0.45">
      <c r="A58" t="s">
        <v>26</v>
      </c>
      <c r="B58" t="s">
        <v>40</v>
      </c>
      <c r="C58">
        <v>45</v>
      </c>
      <c r="D58" t="s">
        <v>35</v>
      </c>
    </row>
    <row r="59" spans="1:6" x14ac:dyDescent="0.45">
      <c r="A59" t="s">
        <v>26</v>
      </c>
      <c r="B59" t="s">
        <v>40</v>
      </c>
      <c r="C59">
        <v>53.8</v>
      </c>
      <c r="D59" t="s">
        <v>36</v>
      </c>
    </row>
    <row r="60" spans="1:6" x14ac:dyDescent="0.45">
      <c r="A60" t="s">
        <v>37</v>
      </c>
      <c r="B60" t="s">
        <v>38</v>
      </c>
      <c r="C60">
        <v>14.850000000000001</v>
      </c>
      <c r="D60" t="s">
        <v>27</v>
      </c>
    </row>
    <row r="61" spans="1:6" x14ac:dyDescent="0.45">
      <c r="A61" t="s">
        <v>37</v>
      </c>
      <c r="B61" t="s">
        <v>38</v>
      </c>
      <c r="C61">
        <v>18.149999999999999</v>
      </c>
      <c r="D61" t="s">
        <v>28</v>
      </c>
    </row>
    <row r="62" spans="1:6" x14ac:dyDescent="0.45">
      <c r="A62" t="s">
        <v>37</v>
      </c>
      <c r="B62" t="s">
        <v>38</v>
      </c>
      <c r="C62">
        <v>27.94</v>
      </c>
      <c r="D62" t="s">
        <v>29</v>
      </c>
    </row>
    <row r="63" spans="1:6" x14ac:dyDescent="0.45">
      <c r="A63" t="s">
        <v>37</v>
      </c>
      <c r="B63" t="s">
        <v>38</v>
      </c>
      <c r="C63">
        <v>32.78</v>
      </c>
      <c r="D63" t="s">
        <v>30</v>
      </c>
    </row>
    <row r="64" spans="1:6" x14ac:dyDescent="0.45">
      <c r="A64" t="s">
        <v>37</v>
      </c>
      <c r="B64" t="s">
        <v>38</v>
      </c>
      <c r="C64">
        <v>48.234999999999999</v>
      </c>
      <c r="D64" t="s">
        <v>31</v>
      </c>
    </row>
    <row r="65" spans="1:6" x14ac:dyDescent="0.45">
      <c r="A65" t="s">
        <v>37</v>
      </c>
      <c r="B65" t="s">
        <v>38</v>
      </c>
      <c r="C65">
        <v>66.55</v>
      </c>
      <c r="D65" t="s">
        <v>32</v>
      </c>
    </row>
    <row r="66" spans="1:6" x14ac:dyDescent="0.45">
      <c r="A66" t="s">
        <v>37</v>
      </c>
      <c r="B66" t="s">
        <v>38</v>
      </c>
      <c r="C66">
        <v>97.9</v>
      </c>
      <c r="D66" t="s">
        <v>33</v>
      </c>
    </row>
    <row r="67" spans="1:6" x14ac:dyDescent="0.45">
      <c r="A67" t="s">
        <v>37</v>
      </c>
      <c r="B67" t="s">
        <v>38</v>
      </c>
      <c r="C67">
        <v>129.25</v>
      </c>
      <c r="D67" t="s">
        <v>34</v>
      </c>
    </row>
    <row r="68" spans="1:6" x14ac:dyDescent="0.45">
      <c r="A68" t="s">
        <v>37</v>
      </c>
      <c r="B68" t="s">
        <v>38</v>
      </c>
      <c r="C68">
        <v>247.5</v>
      </c>
      <c r="D68" t="s">
        <v>35</v>
      </c>
    </row>
    <row r="69" spans="1:6" x14ac:dyDescent="0.45">
      <c r="A69" t="s">
        <v>37</v>
      </c>
      <c r="B69" t="s">
        <v>38</v>
      </c>
      <c r="C69">
        <v>295.89999999999998</v>
      </c>
      <c r="D69" t="s">
        <v>36</v>
      </c>
    </row>
    <row r="70" spans="1:6" x14ac:dyDescent="0.45">
      <c r="A70" t="s">
        <v>41</v>
      </c>
      <c r="B70" t="s">
        <v>8</v>
      </c>
      <c r="C70">
        <v>8150</v>
      </c>
      <c r="D70" t="s">
        <v>9</v>
      </c>
      <c r="E70">
        <v>4560</v>
      </c>
      <c r="F70">
        <v>0.12</v>
      </c>
    </row>
    <row r="71" spans="1:6" x14ac:dyDescent="0.45">
      <c r="A71" t="s">
        <v>41</v>
      </c>
      <c r="B71" t="s">
        <v>8</v>
      </c>
      <c r="C71">
        <v>10220</v>
      </c>
      <c r="D71" t="s">
        <v>10</v>
      </c>
      <c r="E71">
        <v>5720</v>
      </c>
      <c r="F71">
        <v>0.14000000000000001</v>
      </c>
    </row>
    <row r="72" spans="1:6" x14ac:dyDescent="0.45">
      <c r="A72" t="s">
        <v>41</v>
      </c>
      <c r="B72" t="s">
        <v>8</v>
      </c>
      <c r="C72">
        <v>15030</v>
      </c>
      <c r="D72" t="s">
        <v>11</v>
      </c>
      <c r="E72">
        <v>8420</v>
      </c>
      <c r="F72">
        <v>0.17</v>
      </c>
    </row>
    <row r="73" spans="1:6" x14ac:dyDescent="0.45">
      <c r="A73" t="s">
        <v>41</v>
      </c>
      <c r="B73" t="s">
        <v>8</v>
      </c>
      <c r="C73">
        <v>21070</v>
      </c>
      <c r="D73" t="s">
        <v>12</v>
      </c>
      <c r="E73">
        <v>11800</v>
      </c>
      <c r="F73">
        <v>0.21</v>
      </c>
    </row>
    <row r="74" spans="1:6" x14ac:dyDescent="0.45">
      <c r="A74" t="s">
        <v>41</v>
      </c>
      <c r="B74" t="s">
        <v>8</v>
      </c>
      <c r="C74">
        <v>25260</v>
      </c>
      <c r="D74" t="s">
        <v>13</v>
      </c>
      <c r="E74">
        <v>14150</v>
      </c>
      <c r="F74">
        <v>0.23</v>
      </c>
    </row>
    <row r="75" spans="1:6" x14ac:dyDescent="0.45">
      <c r="A75" t="s">
        <v>41</v>
      </c>
      <c r="B75" t="s">
        <v>8</v>
      </c>
      <c r="C75">
        <v>34300</v>
      </c>
      <c r="D75" t="s">
        <v>14</v>
      </c>
      <c r="E75">
        <v>19210</v>
      </c>
      <c r="F75">
        <v>0.28999999999999998</v>
      </c>
    </row>
    <row r="76" spans="1:6" x14ac:dyDescent="0.45">
      <c r="A76" t="s">
        <v>41</v>
      </c>
      <c r="B76" t="s">
        <v>8</v>
      </c>
      <c r="C76">
        <v>53800</v>
      </c>
      <c r="D76" t="s">
        <v>15</v>
      </c>
      <c r="E76">
        <v>30130</v>
      </c>
      <c r="F76">
        <v>0.37</v>
      </c>
    </row>
    <row r="77" spans="1:6" x14ac:dyDescent="0.45">
      <c r="A77" t="s">
        <v>41</v>
      </c>
      <c r="B77" t="s">
        <v>8</v>
      </c>
      <c r="C77">
        <v>65530</v>
      </c>
      <c r="D77" t="s">
        <v>16</v>
      </c>
      <c r="E77">
        <v>36700</v>
      </c>
      <c r="F77">
        <v>0.42</v>
      </c>
    </row>
    <row r="78" spans="1:6" x14ac:dyDescent="0.45">
      <c r="A78" t="s">
        <v>41</v>
      </c>
      <c r="B78" t="s">
        <v>8</v>
      </c>
      <c r="C78">
        <v>91420</v>
      </c>
      <c r="D78" t="s">
        <v>17</v>
      </c>
      <c r="E78">
        <v>51200</v>
      </c>
      <c r="F78">
        <v>0.56999999999999995</v>
      </c>
    </row>
    <row r="79" spans="1:6" x14ac:dyDescent="0.45">
      <c r="A79" t="s">
        <v>42</v>
      </c>
      <c r="B79" t="s">
        <v>8</v>
      </c>
      <c r="C79">
        <v>6750</v>
      </c>
      <c r="D79" t="s">
        <v>9</v>
      </c>
      <c r="E79">
        <v>3710</v>
      </c>
      <c r="F79">
        <v>0.12</v>
      </c>
    </row>
    <row r="80" spans="1:6" x14ac:dyDescent="0.45">
      <c r="A80" t="s">
        <v>42</v>
      </c>
      <c r="B80" t="s">
        <v>8</v>
      </c>
      <c r="C80">
        <v>8200</v>
      </c>
      <c r="D80" t="s">
        <v>10</v>
      </c>
      <c r="E80">
        <v>4510</v>
      </c>
      <c r="F80">
        <v>0.14000000000000001</v>
      </c>
    </row>
    <row r="81" spans="1:6" x14ac:dyDescent="0.45">
      <c r="A81" t="s">
        <v>42</v>
      </c>
      <c r="B81" t="s">
        <v>8</v>
      </c>
      <c r="C81">
        <v>9910</v>
      </c>
      <c r="D81" t="s">
        <v>11</v>
      </c>
      <c r="E81">
        <v>5450</v>
      </c>
      <c r="F81">
        <v>0.14000000000000001</v>
      </c>
    </row>
    <row r="82" spans="1:6" x14ac:dyDescent="0.45">
      <c r="A82" t="s">
        <v>42</v>
      </c>
      <c r="B82" t="s">
        <v>8</v>
      </c>
      <c r="C82">
        <v>12530</v>
      </c>
      <c r="D82" t="s">
        <v>12</v>
      </c>
      <c r="E82">
        <v>6890</v>
      </c>
      <c r="F82">
        <v>0.17</v>
      </c>
    </row>
    <row r="83" spans="1:6" x14ac:dyDescent="0.45">
      <c r="A83" t="s">
        <v>42</v>
      </c>
      <c r="B83" t="s">
        <v>8</v>
      </c>
      <c r="C83">
        <v>13930</v>
      </c>
      <c r="D83" t="s">
        <v>13</v>
      </c>
      <c r="E83">
        <v>7660</v>
      </c>
      <c r="F83">
        <v>0.21</v>
      </c>
    </row>
    <row r="84" spans="1:6" x14ac:dyDescent="0.45">
      <c r="A84" t="s">
        <v>42</v>
      </c>
      <c r="B84" t="s">
        <v>8</v>
      </c>
      <c r="C84">
        <v>17250</v>
      </c>
      <c r="D84" t="s">
        <v>14</v>
      </c>
      <c r="E84">
        <v>9490</v>
      </c>
      <c r="F84">
        <v>0.23</v>
      </c>
    </row>
    <row r="85" spans="1:6" x14ac:dyDescent="0.45">
      <c r="A85" t="s">
        <v>42</v>
      </c>
      <c r="B85" t="s">
        <v>8</v>
      </c>
      <c r="C85">
        <v>21820</v>
      </c>
      <c r="D85" t="s">
        <v>15</v>
      </c>
      <c r="E85">
        <v>12000</v>
      </c>
      <c r="F85">
        <v>0.28999999999999998</v>
      </c>
    </row>
    <row r="86" spans="1:6" x14ac:dyDescent="0.45">
      <c r="A86" t="s">
        <v>43</v>
      </c>
      <c r="B86" t="s">
        <v>44</v>
      </c>
      <c r="C86">
        <v>2820</v>
      </c>
      <c r="D86" t="s">
        <v>9</v>
      </c>
      <c r="E86">
        <v>1550</v>
      </c>
      <c r="F86">
        <v>0</v>
      </c>
    </row>
    <row r="87" spans="1:6" x14ac:dyDescent="0.45">
      <c r="A87" t="s">
        <v>43</v>
      </c>
      <c r="B87" t="s">
        <v>44</v>
      </c>
      <c r="C87">
        <v>4020</v>
      </c>
      <c r="D87" t="s">
        <v>10</v>
      </c>
      <c r="E87">
        <v>2210</v>
      </c>
      <c r="F87">
        <v>0</v>
      </c>
    </row>
    <row r="88" spans="1:6" x14ac:dyDescent="0.45">
      <c r="A88" t="s">
        <v>43</v>
      </c>
      <c r="B88" t="s">
        <v>44</v>
      </c>
      <c r="C88">
        <v>5750</v>
      </c>
      <c r="D88" t="s">
        <v>11</v>
      </c>
      <c r="E88">
        <v>3160</v>
      </c>
      <c r="F88">
        <v>0</v>
      </c>
    </row>
    <row r="89" spans="1:6" x14ac:dyDescent="0.45">
      <c r="A89" t="s">
        <v>43</v>
      </c>
      <c r="B89" t="s">
        <v>44</v>
      </c>
      <c r="C89">
        <v>9220</v>
      </c>
      <c r="D89" t="s">
        <v>12</v>
      </c>
      <c r="E89">
        <v>5070</v>
      </c>
      <c r="F89">
        <v>0</v>
      </c>
    </row>
    <row r="90" spans="1:6" x14ac:dyDescent="0.45">
      <c r="A90" t="s">
        <v>43</v>
      </c>
      <c r="B90" t="s">
        <v>44</v>
      </c>
      <c r="C90">
        <v>10710</v>
      </c>
      <c r="D90" t="s">
        <v>13</v>
      </c>
      <c r="E90">
        <v>5890</v>
      </c>
      <c r="F90">
        <v>0</v>
      </c>
    </row>
    <row r="91" spans="1:6" x14ac:dyDescent="0.45">
      <c r="A91" t="s">
        <v>43</v>
      </c>
      <c r="B91" t="s">
        <v>44</v>
      </c>
      <c r="C91">
        <v>15930</v>
      </c>
      <c r="D91" t="s">
        <v>14</v>
      </c>
      <c r="E91">
        <v>8760</v>
      </c>
      <c r="F91">
        <v>0</v>
      </c>
    </row>
    <row r="92" spans="1:6" x14ac:dyDescent="0.45">
      <c r="A92" t="s">
        <v>43</v>
      </c>
      <c r="B92" t="s">
        <v>44</v>
      </c>
      <c r="C92">
        <v>36400</v>
      </c>
      <c r="D92" t="s">
        <v>15</v>
      </c>
      <c r="E92">
        <v>20020</v>
      </c>
      <c r="F92">
        <v>0</v>
      </c>
    </row>
    <row r="93" spans="1:6" x14ac:dyDescent="0.45">
      <c r="A93" t="s">
        <v>45</v>
      </c>
      <c r="B93" t="s">
        <v>44</v>
      </c>
      <c r="C93">
        <v>3730</v>
      </c>
      <c r="D93" t="s">
        <v>9</v>
      </c>
      <c r="E93">
        <v>2050</v>
      </c>
      <c r="F93">
        <v>0</v>
      </c>
    </row>
    <row r="94" spans="1:6" x14ac:dyDescent="0.45">
      <c r="A94" t="s">
        <v>46</v>
      </c>
      <c r="B94" t="s">
        <v>44</v>
      </c>
      <c r="C94">
        <v>5350</v>
      </c>
      <c r="D94" t="s">
        <v>10</v>
      </c>
      <c r="E94">
        <v>2940</v>
      </c>
      <c r="F94">
        <v>0</v>
      </c>
    </row>
    <row r="95" spans="1:6" x14ac:dyDescent="0.45">
      <c r="A95" t="s">
        <v>46</v>
      </c>
      <c r="B95" t="s">
        <v>44</v>
      </c>
      <c r="C95">
        <v>7640</v>
      </c>
      <c r="D95" t="s">
        <v>11</v>
      </c>
      <c r="E95">
        <v>4200</v>
      </c>
      <c r="F95">
        <v>0</v>
      </c>
    </row>
    <row r="96" spans="1:6" x14ac:dyDescent="0.45">
      <c r="A96" t="s">
        <v>46</v>
      </c>
      <c r="B96" t="s">
        <v>44</v>
      </c>
      <c r="C96">
        <v>12000</v>
      </c>
      <c r="D96" t="s">
        <v>12</v>
      </c>
      <c r="E96">
        <v>6600</v>
      </c>
      <c r="F96">
        <v>0</v>
      </c>
    </row>
    <row r="97" spans="1:6" x14ac:dyDescent="0.45">
      <c r="A97" t="s">
        <v>46</v>
      </c>
      <c r="B97" t="s">
        <v>44</v>
      </c>
      <c r="C97">
        <v>13930</v>
      </c>
      <c r="D97" t="s">
        <v>13</v>
      </c>
      <c r="E97">
        <v>7660</v>
      </c>
      <c r="F97">
        <v>0</v>
      </c>
    </row>
    <row r="98" spans="1:6" x14ac:dyDescent="0.45">
      <c r="A98" t="s">
        <v>46</v>
      </c>
      <c r="B98" t="s">
        <v>44</v>
      </c>
      <c r="C98">
        <v>21270</v>
      </c>
      <c r="D98" t="s">
        <v>14</v>
      </c>
      <c r="E98">
        <v>11700</v>
      </c>
      <c r="F98">
        <v>0</v>
      </c>
    </row>
    <row r="99" spans="1:6" x14ac:dyDescent="0.45">
      <c r="A99" t="s">
        <v>46</v>
      </c>
      <c r="B99" t="s">
        <v>44</v>
      </c>
      <c r="C99">
        <v>48670</v>
      </c>
      <c r="D99" t="s">
        <v>15</v>
      </c>
      <c r="E99">
        <v>26770</v>
      </c>
      <c r="F99">
        <v>0</v>
      </c>
    </row>
    <row r="100" spans="1:6" x14ac:dyDescent="0.45">
      <c r="A100" t="s">
        <v>47</v>
      </c>
      <c r="B100" t="s">
        <v>44</v>
      </c>
      <c r="C100">
        <v>7580</v>
      </c>
      <c r="D100" t="s">
        <v>9</v>
      </c>
      <c r="E100">
        <v>4170</v>
      </c>
      <c r="F100">
        <v>0</v>
      </c>
    </row>
    <row r="101" spans="1:6" x14ac:dyDescent="0.45">
      <c r="A101" t="s">
        <v>47</v>
      </c>
      <c r="B101" t="s">
        <v>44</v>
      </c>
      <c r="C101">
        <v>9910</v>
      </c>
      <c r="D101" t="s">
        <v>10</v>
      </c>
      <c r="E101">
        <v>5450</v>
      </c>
      <c r="F101">
        <v>0</v>
      </c>
    </row>
    <row r="102" spans="1:6" x14ac:dyDescent="0.45">
      <c r="A102" t="s">
        <v>47</v>
      </c>
      <c r="B102" t="s">
        <v>44</v>
      </c>
      <c r="C102">
        <v>12650</v>
      </c>
      <c r="D102" t="s">
        <v>11</v>
      </c>
      <c r="E102">
        <v>6960</v>
      </c>
      <c r="F102">
        <v>0</v>
      </c>
    </row>
    <row r="103" spans="1:6" x14ac:dyDescent="0.45">
      <c r="A103" t="s">
        <v>47</v>
      </c>
      <c r="B103" t="s">
        <v>44</v>
      </c>
      <c r="C103">
        <v>18200</v>
      </c>
      <c r="D103" t="s">
        <v>12</v>
      </c>
      <c r="E103">
        <v>10010</v>
      </c>
      <c r="F103">
        <v>0</v>
      </c>
    </row>
    <row r="104" spans="1:6" x14ac:dyDescent="0.45">
      <c r="A104" t="s">
        <v>47</v>
      </c>
      <c r="B104" t="s">
        <v>44</v>
      </c>
      <c r="C104">
        <v>22760</v>
      </c>
      <c r="D104" t="s">
        <v>13</v>
      </c>
      <c r="E104">
        <v>12520</v>
      </c>
      <c r="F104">
        <v>0</v>
      </c>
    </row>
    <row r="105" spans="1:6" x14ac:dyDescent="0.45">
      <c r="A105" t="s">
        <v>47</v>
      </c>
      <c r="B105" t="s">
        <v>44</v>
      </c>
      <c r="C105">
        <v>31850</v>
      </c>
      <c r="D105" t="s">
        <v>14</v>
      </c>
      <c r="E105">
        <v>17520</v>
      </c>
      <c r="F105">
        <v>0</v>
      </c>
    </row>
    <row r="106" spans="1:6" x14ac:dyDescent="0.45">
      <c r="A106" t="s">
        <v>47</v>
      </c>
      <c r="B106" t="s">
        <v>44</v>
      </c>
      <c r="C106">
        <v>43710</v>
      </c>
      <c r="D106" t="s">
        <v>15</v>
      </c>
      <c r="E106">
        <v>24040</v>
      </c>
      <c r="F106">
        <v>0</v>
      </c>
    </row>
    <row r="107" spans="1:6" x14ac:dyDescent="0.45">
      <c r="A107" t="s">
        <v>48</v>
      </c>
      <c r="B107" t="s">
        <v>8</v>
      </c>
      <c r="C107">
        <v>380</v>
      </c>
      <c r="D107" t="s">
        <v>49</v>
      </c>
      <c r="E107">
        <v>250</v>
      </c>
      <c r="F107">
        <v>0.06</v>
      </c>
    </row>
    <row r="108" spans="1:6" x14ac:dyDescent="0.45">
      <c r="A108" t="s">
        <v>48</v>
      </c>
      <c r="B108" t="s">
        <v>8</v>
      </c>
      <c r="C108">
        <v>550</v>
      </c>
      <c r="D108" t="s">
        <v>50</v>
      </c>
      <c r="E108">
        <v>360</v>
      </c>
      <c r="F108">
        <v>7.0000000000000007E-2</v>
      </c>
    </row>
    <row r="109" spans="1:6" x14ac:dyDescent="0.45">
      <c r="A109" t="s">
        <v>48</v>
      </c>
      <c r="B109" t="s">
        <v>8</v>
      </c>
      <c r="C109">
        <v>650</v>
      </c>
      <c r="D109" t="s">
        <v>51</v>
      </c>
      <c r="E109">
        <v>420</v>
      </c>
      <c r="F109">
        <v>7.0000000000000007E-2</v>
      </c>
    </row>
    <row r="110" spans="1:6" x14ac:dyDescent="0.45">
      <c r="A110" t="s">
        <v>48</v>
      </c>
      <c r="B110" t="s">
        <v>8</v>
      </c>
      <c r="C110">
        <v>920</v>
      </c>
      <c r="D110" t="s">
        <v>52</v>
      </c>
      <c r="E110">
        <v>600</v>
      </c>
      <c r="F110">
        <v>0.09</v>
      </c>
    </row>
    <row r="111" spans="1:6" x14ac:dyDescent="0.45">
      <c r="A111" t="s">
        <v>48</v>
      </c>
      <c r="B111" t="s">
        <v>8</v>
      </c>
      <c r="C111">
        <v>1170</v>
      </c>
      <c r="D111" t="s">
        <v>53</v>
      </c>
      <c r="E111">
        <v>760</v>
      </c>
      <c r="F111">
        <v>0.1</v>
      </c>
    </row>
    <row r="112" spans="1:6" x14ac:dyDescent="0.45">
      <c r="A112" t="s">
        <v>48</v>
      </c>
      <c r="B112" t="s">
        <v>8</v>
      </c>
      <c r="C112">
        <v>1660</v>
      </c>
      <c r="D112" t="s">
        <v>54</v>
      </c>
      <c r="E112">
        <v>1080</v>
      </c>
      <c r="F112">
        <v>0.12</v>
      </c>
    </row>
    <row r="113" spans="1:6" x14ac:dyDescent="0.45">
      <c r="A113" t="s">
        <v>48</v>
      </c>
      <c r="B113" t="s">
        <v>8</v>
      </c>
      <c r="C113">
        <v>2250</v>
      </c>
      <c r="D113" t="s">
        <v>55</v>
      </c>
      <c r="E113">
        <v>1460</v>
      </c>
      <c r="F113">
        <v>0.15</v>
      </c>
    </row>
    <row r="114" spans="1:6" x14ac:dyDescent="0.45">
      <c r="A114" t="s">
        <v>48</v>
      </c>
      <c r="B114" t="s">
        <v>8</v>
      </c>
      <c r="C114">
        <v>2150</v>
      </c>
      <c r="D114" t="s">
        <v>56</v>
      </c>
      <c r="E114">
        <v>1400</v>
      </c>
      <c r="F114">
        <v>0.2</v>
      </c>
    </row>
    <row r="115" spans="1:6" x14ac:dyDescent="0.45">
      <c r="A115" t="s">
        <v>48</v>
      </c>
      <c r="B115" t="s">
        <v>8</v>
      </c>
      <c r="C115">
        <v>4290</v>
      </c>
      <c r="D115" t="s">
        <v>57</v>
      </c>
      <c r="E115">
        <v>2790</v>
      </c>
      <c r="F115">
        <v>0.23</v>
      </c>
    </row>
    <row r="116" spans="1:6" x14ac:dyDescent="0.45">
      <c r="A116" t="s">
        <v>48</v>
      </c>
      <c r="B116" t="s">
        <v>8</v>
      </c>
      <c r="C116">
        <v>6320</v>
      </c>
      <c r="D116" t="s">
        <v>58</v>
      </c>
      <c r="E116">
        <v>4110</v>
      </c>
      <c r="F116">
        <v>0.28999999999999998</v>
      </c>
    </row>
    <row r="117" spans="1:6" x14ac:dyDescent="0.45">
      <c r="A117" t="s">
        <v>48</v>
      </c>
      <c r="B117" t="s">
        <v>8</v>
      </c>
      <c r="C117">
        <v>9230</v>
      </c>
      <c r="D117" t="s">
        <v>59</v>
      </c>
      <c r="E117">
        <v>6000</v>
      </c>
      <c r="F117">
        <v>0.36</v>
      </c>
    </row>
    <row r="118" spans="1:6" x14ac:dyDescent="0.45">
      <c r="A118" t="s">
        <v>48</v>
      </c>
      <c r="B118" t="s">
        <v>8</v>
      </c>
      <c r="C118">
        <v>12880</v>
      </c>
      <c r="D118" t="s">
        <v>60</v>
      </c>
      <c r="E118">
        <v>8370</v>
      </c>
      <c r="F118">
        <v>0.43</v>
      </c>
    </row>
    <row r="119" spans="1:6" x14ac:dyDescent="0.45">
      <c r="A119" t="s">
        <v>48</v>
      </c>
      <c r="B119" t="s">
        <v>8</v>
      </c>
      <c r="C119">
        <v>710</v>
      </c>
      <c r="D119" t="s">
        <v>61</v>
      </c>
      <c r="E119">
        <v>460</v>
      </c>
      <c r="F119">
        <v>0.12</v>
      </c>
    </row>
    <row r="120" spans="1:6" x14ac:dyDescent="0.45">
      <c r="A120" t="s">
        <v>48</v>
      </c>
      <c r="B120" t="s">
        <v>8</v>
      </c>
      <c r="C120">
        <v>880</v>
      </c>
      <c r="D120" t="s">
        <v>62</v>
      </c>
      <c r="E120">
        <v>570</v>
      </c>
      <c r="F120">
        <v>0.15</v>
      </c>
    </row>
    <row r="121" spans="1:6" x14ac:dyDescent="0.45">
      <c r="A121" t="s">
        <v>48</v>
      </c>
      <c r="B121" t="s">
        <v>8</v>
      </c>
      <c r="C121">
        <v>1350</v>
      </c>
      <c r="D121" t="s">
        <v>63</v>
      </c>
      <c r="E121">
        <v>880</v>
      </c>
      <c r="F121">
        <v>0.2</v>
      </c>
    </row>
    <row r="122" spans="1:6" x14ac:dyDescent="0.45">
      <c r="A122" t="s">
        <v>48</v>
      </c>
      <c r="B122" t="s">
        <v>8</v>
      </c>
      <c r="C122">
        <v>1780</v>
      </c>
      <c r="D122" t="s">
        <v>64</v>
      </c>
      <c r="E122">
        <v>1160</v>
      </c>
      <c r="F122">
        <v>0.23</v>
      </c>
    </row>
    <row r="123" spans="1:6" x14ac:dyDescent="0.45">
      <c r="A123" t="s">
        <v>48</v>
      </c>
      <c r="B123" t="s">
        <v>8</v>
      </c>
      <c r="C123">
        <v>2690</v>
      </c>
      <c r="D123" t="s">
        <v>65</v>
      </c>
      <c r="E123">
        <v>1750</v>
      </c>
      <c r="F123">
        <v>0.28999999999999998</v>
      </c>
    </row>
    <row r="124" spans="1:6" x14ac:dyDescent="0.45">
      <c r="A124" t="s">
        <v>48</v>
      </c>
      <c r="B124" t="s">
        <v>8</v>
      </c>
      <c r="C124">
        <v>4350</v>
      </c>
      <c r="D124" t="s">
        <v>66</v>
      </c>
      <c r="E124">
        <v>2830</v>
      </c>
      <c r="F124">
        <v>0.36</v>
      </c>
    </row>
    <row r="125" spans="1:6" x14ac:dyDescent="0.45">
      <c r="A125" t="s">
        <v>48</v>
      </c>
      <c r="B125" t="s">
        <v>8</v>
      </c>
      <c r="C125">
        <v>6250</v>
      </c>
      <c r="D125" t="s">
        <v>67</v>
      </c>
      <c r="E125">
        <v>4060</v>
      </c>
      <c r="F125">
        <v>0.43</v>
      </c>
    </row>
    <row r="126" spans="1:6" x14ac:dyDescent="0.45">
      <c r="A126" t="s">
        <v>48</v>
      </c>
      <c r="B126" t="s">
        <v>8</v>
      </c>
      <c r="C126">
        <v>10320</v>
      </c>
      <c r="D126" t="s">
        <v>68</v>
      </c>
      <c r="E126">
        <v>6710</v>
      </c>
      <c r="F126">
        <v>0.56000000000000005</v>
      </c>
    </row>
    <row r="127" spans="1:6" x14ac:dyDescent="0.45">
      <c r="A127" t="s">
        <v>48</v>
      </c>
      <c r="B127" t="s">
        <v>8</v>
      </c>
      <c r="C127">
        <v>15460</v>
      </c>
      <c r="D127" t="s">
        <v>69</v>
      </c>
      <c r="E127">
        <v>10050</v>
      </c>
      <c r="F127">
        <v>0.69</v>
      </c>
    </row>
    <row r="128" spans="1:6" x14ac:dyDescent="0.45">
      <c r="A128" t="s">
        <v>48</v>
      </c>
      <c r="B128" t="s">
        <v>8</v>
      </c>
      <c r="C128">
        <v>21750</v>
      </c>
      <c r="D128" t="s">
        <v>70</v>
      </c>
      <c r="E128">
        <v>14140</v>
      </c>
      <c r="F128">
        <v>0.83</v>
      </c>
    </row>
    <row r="129" spans="1:6" x14ac:dyDescent="0.45">
      <c r="A129" t="s">
        <v>48</v>
      </c>
      <c r="B129" t="s">
        <v>8</v>
      </c>
      <c r="C129">
        <v>29340</v>
      </c>
      <c r="D129" t="s">
        <v>71</v>
      </c>
      <c r="E129">
        <v>19070</v>
      </c>
      <c r="F129">
        <v>0.96</v>
      </c>
    </row>
    <row r="130" spans="1:6" x14ac:dyDescent="0.45">
      <c r="A130" t="s">
        <v>48</v>
      </c>
      <c r="B130" t="s">
        <v>8</v>
      </c>
      <c r="C130">
        <v>38970</v>
      </c>
      <c r="D130" t="s">
        <v>72</v>
      </c>
      <c r="E130">
        <v>25330</v>
      </c>
      <c r="F130">
        <v>1.1000000000000001</v>
      </c>
    </row>
    <row r="131" spans="1:6" x14ac:dyDescent="0.45">
      <c r="A131" t="s">
        <v>48</v>
      </c>
      <c r="B131" t="s">
        <v>8</v>
      </c>
      <c r="C131">
        <v>49280</v>
      </c>
      <c r="D131" t="s">
        <v>73</v>
      </c>
      <c r="E131">
        <v>32030</v>
      </c>
      <c r="F131">
        <v>1.24</v>
      </c>
    </row>
    <row r="132" spans="1:6" x14ac:dyDescent="0.45">
      <c r="A132" t="s">
        <v>48</v>
      </c>
      <c r="B132" t="s">
        <v>8</v>
      </c>
      <c r="C132">
        <v>61890</v>
      </c>
      <c r="D132" t="s">
        <v>74</v>
      </c>
      <c r="E132">
        <v>40230</v>
      </c>
      <c r="F132">
        <v>1.38</v>
      </c>
    </row>
    <row r="133" spans="1:6" x14ac:dyDescent="0.45">
      <c r="A133" t="s">
        <v>75</v>
      </c>
      <c r="B133" t="s">
        <v>8</v>
      </c>
      <c r="C133">
        <v>480</v>
      </c>
      <c r="D133" t="s">
        <v>76</v>
      </c>
      <c r="E133">
        <v>310</v>
      </c>
      <c r="F133">
        <v>0.06</v>
      </c>
    </row>
    <row r="134" spans="1:6" x14ac:dyDescent="0.45">
      <c r="A134" t="s">
        <v>75</v>
      </c>
      <c r="B134" t="s">
        <v>8</v>
      </c>
      <c r="C134">
        <v>710</v>
      </c>
      <c r="D134" t="s">
        <v>77</v>
      </c>
      <c r="E134">
        <v>460</v>
      </c>
      <c r="F134">
        <v>7.0000000000000007E-2</v>
      </c>
    </row>
    <row r="135" spans="1:6" x14ac:dyDescent="0.45">
      <c r="A135" t="s">
        <v>75</v>
      </c>
      <c r="B135" t="s">
        <v>8</v>
      </c>
      <c r="C135">
        <v>770</v>
      </c>
      <c r="D135" t="s">
        <v>78</v>
      </c>
      <c r="E135">
        <v>500</v>
      </c>
      <c r="F135">
        <v>7.0000000000000007E-2</v>
      </c>
    </row>
    <row r="136" spans="1:6" x14ac:dyDescent="0.45">
      <c r="A136" t="s">
        <v>75</v>
      </c>
      <c r="B136" t="s">
        <v>8</v>
      </c>
      <c r="C136">
        <v>1170</v>
      </c>
      <c r="D136" t="s">
        <v>79</v>
      </c>
      <c r="E136">
        <v>760</v>
      </c>
      <c r="F136">
        <v>0.09</v>
      </c>
    </row>
    <row r="137" spans="1:6" x14ac:dyDescent="0.45">
      <c r="A137" t="s">
        <v>75</v>
      </c>
      <c r="B137" t="s">
        <v>8</v>
      </c>
      <c r="C137">
        <v>1490</v>
      </c>
      <c r="D137" t="s">
        <v>80</v>
      </c>
      <c r="E137">
        <v>970</v>
      </c>
      <c r="F137">
        <v>0.1</v>
      </c>
    </row>
    <row r="138" spans="1:6" x14ac:dyDescent="0.45">
      <c r="A138" t="s">
        <v>75</v>
      </c>
      <c r="B138" t="s">
        <v>8</v>
      </c>
      <c r="C138">
        <v>2050</v>
      </c>
      <c r="D138" t="s">
        <v>81</v>
      </c>
      <c r="E138">
        <v>1330</v>
      </c>
      <c r="F138">
        <v>0.12</v>
      </c>
    </row>
    <row r="139" spans="1:6" x14ac:dyDescent="0.45">
      <c r="A139" t="s">
        <v>75</v>
      </c>
      <c r="B139" t="s">
        <v>8</v>
      </c>
      <c r="C139">
        <v>2720</v>
      </c>
      <c r="D139" t="s">
        <v>82</v>
      </c>
      <c r="E139">
        <v>1770</v>
      </c>
      <c r="F139">
        <v>0.15</v>
      </c>
    </row>
    <row r="140" spans="1:6" x14ac:dyDescent="0.45">
      <c r="A140" t="s">
        <v>83</v>
      </c>
      <c r="B140" t="s">
        <v>8</v>
      </c>
      <c r="C140">
        <v>560</v>
      </c>
      <c r="D140" t="s">
        <v>84</v>
      </c>
      <c r="E140">
        <v>400</v>
      </c>
      <c r="F140">
        <v>0.06</v>
      </c>
    </row>
    <row r="141" spans="1:6" x14ac:dyDescent="0.45">
      <c r="A141" t="s">
        <v>83</v>
      </c>
      <c r="B141" t="s">
        <v>8</v>
      </c>
      <c r="C141">
        <v>830</v>
      </c>
      <c r="D141" t="s">
        <v>85</v>
      </c>
      <c r="E141">
        <v>600</v>
      </c>
      <c r="F141">
        <v>7.0000000000000007E-2</v>
      </c>
    </row>
    <row r="142" spans="1:6" x14ac:dyDescent="0.45">
      <c r="A142" t="s">
        <v>83</v>
      </c>
      <c r="B142" t="s">
        <v>8</v>
      </c>
      <c r="C142">
        <v>1000</v>
      </c>
      <c r="D142" t="s">
        <v>86</v>
      </c>
      <c r="E142">
        <v>720</v>
      </c>
      <c r="F142">
        <v>7.0000000000000007E-2</v>
      </c>
    </row>
    <row r="143" spans="1:6" x14ac:dyDescent="0.45">
      <c r="A143" t="s">
        <v>83</v>
      </c>
      <c r="B143" t="s">
        <v>8</v>
      </c>
      <c r="C143">
        <v>1440</v>
      </c>
      <c r="D143" t="s">
        <v>87</v>
      </c>
      <c r="E143">
        <v>1040</v>
      </c>
      <c r="F143">
        <v>0.09</v>
      </c>
    </row>
    <row r="144" spans="1:6" x14ac:dyDescent="0.45">
      <c r="A144" t="s">
        <v>83</v>
      </c>
      <c r="B144" t="s">
        <v>8</v>
      </c>
      <c r="C144">
        <v>1790</v>
      </c>
      <c r="D144" t="s">
        <v>88</v>
      </c>
      <c r="E144">
        <v>1290</v>
      </c>
      <c r="F144">
        <v>0.1</v>
      </c>
    </row>
    <row r="145" spans="1:6" x14ac:dyDescent="0.45">
      <c r="A145" t="s">
        <v>83</v>
      </c>
      <c r="B145" t="s">
        <v>8</v>
      </c>
      <c r="C145">
        <v>2610</v>
      </c>
      <c r="D145" t="s">
        <v>89</v>
      </c>
      <c r="E145">
        <v>1880</v>
      </c>
      <c r="F145">
        <v>0.12</v>
      </c>
    </row>
    <row r="146" spans="1:6" x14ac:dyDescent="0.45">
      <c r="A146" t="s">
        <v>83</v>
      </c>
      <c r="B146" t="s">
        <v>8</v>
      </c>
      <c r="C146">
        <v>3990</v>
      </c>
      <c r="D146" t="s">
        <v>90</v>
      </c>
      <c r="E146">
        <v>2870</v>
      </c>
      <c r="F146">
        <v>0.15</v>
      </c>
    </row>
    <row r="147" spans="1:6" x14ac:dyDescent="0.45">
      <c r="A147" t="s">
        <v>83</v>
      </c>
      <c r="B147" t="s">
        <v>8</v>
      </c>
      <c r="C147">
        <v>5440</v>
      </c>
      <c r="D147" t="s">
        <v>91</v>
      </c>
      <c r="E147">
        <v>3920</v>
      </c>
      <c r="F147">
        <v>0.2</v>
      </c>
    </row>
    <row r="148" spans="1:6" x14ac:dyDescent="0.45">
      <c r="A148" t="s">
        <v>83</v>
      </c>
      <c r="B148" t="s">
        <v>8</v>
      </c>
      <c r="C148">
        <v>7710</v>
      </c>
      <c r="D148" t="s">
        <v>92</v>
      </c>
      <c r="E148">
        <v>5550</v>
      </c>
      <c r="F148">
        <v>0.23</v>
      </c>
    </row>
    <row r="149" spans="1:6" x14ac:dyDescent="0.45">
      <c r="A149" t="s">
        <v>83</v>
      </c>
      <c r="B149" t="s">
        <v>8</v>
      </c>
      <c r="C149">
        <v>11960</v>
      </c>
      <c r="D149" t="s">
        <v>93</v>
      </c>
      <c r="E149">
        <v>8610</v>
      </c>
      <c r="F149">
        <v>0.28999999999999998</v>
      </c>
    </row>
    <row r="150" spans="1:6" x14ac:dyDescent="0.45">
      <c r="A150" t="s">
        <v>83</v>
      </c>
      <c r="B150" t="s">
        <v>8</v>
      </c>
      <c r="C150">
        <v>16010</v>
      </c>
      <c r="D150" t="s">
        <v>94</v>
      </c>
      <c r="E150">
        <v>11530</v>
      </c>
      <c r="F150">
        <v>0.36</v>
      </c>
    </row>
    <row r="151" spans="1:6" x14ac:dyDescent="0.45">
      <c r="A151" t="s">
        <v>83</v>
      </c>
      <c r="B151" t="s">
        <v>8</v>
      </c>
      <c r="C151">
        <v>21940</v>
      </c>
      <c r="D151" t="s">
        <v>95</v>
      </c>
      <c r="E151">
        <v>15800</v>
      </c>
      <c r="F151">
        <v>0.43</v>
      </c>
    </row>
    <row r="152" spans="1:6" x14ac:dyDescent="0.45">
      <c r="A152" t="s">
        <v>96</v>
      </c>
      <c r="B152" t="s">
        <v>97</v>
      </c>
      <c r="C152">
        <v>37300</v>
      </c>
      <c r="D152" t="s">
        <v>98</v>
      </c>
      <c r="E152">
        <v>27230</v>
      </c>
      <c r="F152">
        <v>7.2</v>
      </c>
    </row>
    <row r="153" spans="1:6" x14ac:dyDescent="0.45">
      <c r="A153" t="s">
        <v>96</v>
      </c>
      <c r="B153" t="s">
        <v>97</v>
      </c>
      <c r="C153">
        <v>44800</v>
      </c>
      <c r="D153" t="s">
        <v>99</v>
      </c>
      <c r="E153">
        <v>32700</v>
      </c>
      <c r="F153">
        <v>7.2</v>
      </c>
    </row>
    <row r="154" spans="1:6" x14ac:dyDescent="0.45">
      <c r="A154" t="s">
        <v>96</v>
      </c>
      <c r="B154" t="s">
        <v>97</v>
      </c>
      <c r="C154">
        <v>48600</v>
      </c>
      <c r="D154" t="s">
        <v>100</v>
      </c>
      <c r="E154">
        <v>35480</v>
      </c>
      <c r="F154">
        <v>8.1999999999999993</v>
      </c>
    </row>
    <row r="155" spans="1:6" x14ac:dyDescent="0.45">
      <c r="A155" t="s">
        <v>96</v>
      </c>
      <c r="B155" t="s">
        <v>97</v>
      </c>
      <c r="C155">
        <v>77400</v>
      </c>
      <c r="D155" t="s">
        <v>101</v>
      </c>
      <c r="E155">
        <v>56500</v>
      </c>
      <c r="F155">
        <v>8.4</v>
      </c>
    </row>
    <row r="156" spans="1:6" x14ac:dyDescent="0.45">
      <c r="A156" t="s">
        <v>102</v>
      </c>
      <c r="B156" t="s">
        <v>44</v>
      </c>
      <c r="C156">
        <v>1320</v>
      </c>
      <c r="D156" t="s">
        <v>103</v>
      </c>
      <c r="E156">
        <v>960</v>
      </c>
      <c r="F156">
        <v>0.08</v>
      </c>
    </row>
    <row r="157" spans="1:6" x14ac:dyDescent="0.45">
      <c r="A157" t="s">
        <v>102</v>
      </c>
      <c r="B157" t="s">
        <v>44</v>
      </c>
      <c r="C157">
        <v>1820</v>
      </c>
      <c r="D157" t="s">
        <v>104</v>
      </c>
      <c r="E157">
        <v>1330</v>
      </c>
      <c r="F157">
        <v>0.09</v>
      </c>
    </row>
    <row r="158" spans="1:6" x14ac:dyDescent="0.45">
      <c r="A158" t="s">
        <v>102</v>
      </c>
      <c r="B158" t="s">
        <v>44</v>
      </c>
      <c r="C158">
        <v>2380</v>
      </c>
      <c r="D158" t="s">
        <v>105</v>
      </c>
      <c r="E158">
        <v>1740</v>
      </c>
      <c r="F158">
        <v>0.12</v>
      </c>
    </row>
    <row r="159" spans="1:6" x14ac:dyDescent="0.45">
      <c r="A159" t="s">
        <v>106</v>
      </c>
      <c r="B159" t="s">
        <v>44</v>
      </c>
      <c r="C159">
        <v>2340</v>
      </c>
      <c r="D159" t="s">
        <v>107</v>
      </c>
      <c r="E159">
        <v>1400</v>
      </c>
      <c r="F159">
        <v>0.08</v>
      </c>
    </row>
    <row r="160" spans="1:6" x14ac:dyDescent="0.45">
      <c r="A160" t="s">
        <v>106</v>
      </c>
      <c r="B160" t="s">
        <v>44</v>
      </c>
      <c r="C160">
        <v>2570</v>
      </c>
      <c r="D160" t="s">
        <v>108</v>
      </c>
      <c r="E160">
        <v>1540</v>
      </c>
      <c r="F160">
        <v>0.09</v>
      </c>
    </row>
    <row r="161" spans="1:6" x14ac:dyDescent="0.45">
      <c r="A161" t="s">
        <v>106</v>
      </c>
      <c r="B161" t="s">
        <v>44</v>
      </c>
      <c r="C161">
        <v>2820</v>
      </c>
      <c r="D161" t="s">
        <v>109</v>
      </c>
      <c r="E161">
        <v>1690</v>
      </c>
      <c r="F161">
        <v>0.12</v>
      </c>
    </row>
    <row r="162" spans="1:6" x14ac:dyDescent="0.45">
      <c r="A162" t="s">
        <v>110</v>
      </c>
      <c r="B162" t="s">
        <v>44</v>
      </c>
      <c r="C162">
        <v>2780</v>
      </c>
      <c r="D162" t="s">
        <v>111</v>
      </c>
      <c r="E162">
        <v>1670</v>
      </c>
      <c r="F162">
        <v>0.08</v>
      </c>
    </row>
    <row r="163" spans="1:6" x14ac:dyDescent="0.45">
      <c r="A163" t="s">
        <v>110</v>
      </c>
      <c r="B163" t="s">
        <v>44</v>
      </c>
      <c r="C163">
        <v>3060</v>
      </c>
      <c r="D163" t="s">
        <v>112</v>
      </c>
      <c r="E163">
        <v>1840</v>
      </c>
      <c r="F163">
        <v>0.09</v>
      </c>
    </row>
    <row r="164" spans="1:6" x14ac:dyDescent="0.45">
      <c r="A164" t="s">
        <v>110</v>
      </c>
      <c r="B164" t="s">
        <v>44</v>
      </c>
      <c r="C164">
        <v>3370</v>
      </c>
      <c r="D164" t="s">
        <v>113</v>
      </c>
      <c r="E164">
        <v>2020</v>
      </c>
      <c r="F164">
        <v>0.12</v>
      </c>
    </row>
    <row r="165" spans="1:6" x14ac:dyDescent="0.45">
      <c r="A165" t="s">
        <v>114</v>
      </c>
      <c r="B165" t="s">
        <v>44</v>
      </c>
      <c r="C165">
        <v>4200</v>
      </c>
      <c r="D165" t="s">
        <v>111</v>
      </c>
      <c r="E165">
        <v>2520</v>
      </c>
      <c r="F165">
        <v>0.08</v>
      </c>
    </row>
    <row r="166" spans="1:6" x14ac:dyDescent="0.45">
      <c r="A166" t="s">
        <v>114</v>
      </c>
      <c r="B166" t="s">
        <v>44</v>
      </c>
      <c r="C166">
        <v>4620</v>
      </c>
      <c r="D166" t="s">
        <v>112</v>
      </c>
      <c r="E166">
        <v>2770</v>
      </c>
      <c r="F166">
        <v>0.09</v>
      </c>
    </row>
    <row r="167" spans="1:6" x14ac:dyDescent="0.45">
      <c r="A167" t="s">
        <v>114</v>
      </c>
      <c r="B167" t="s">
        <v>44</v>
      </c>
      <c r="C167">
        <v>5080</v>
      </c>
      <c r="D167" t="s">
        <v>113</v>
      </c>
      <c r="E167">
        <v>3050</v>
      </c>
      <c r="F167">
        <v>0.12</v>
      </c>
    </row>
    <row r="168" spans="1:6" x14ac:dyDescent="0.45">
      <c r="A168" t="s">
        <v>115</v>
      </c>
      <c r="B168" t="s">
        <v>40</v>
      </c>
      <c r="C168">
        <v>440</v>
      </c>
      <c r="D168" t="s">
        <v>116</v>
      </c>
      <c r="E168">
        <v>320</v>
      </c>
      <c r="F168">
        <v>7.0000000000000007E-2</v>
      </c>
    </row>
    <row r="169" spans="1:6" x14ac:dyDescent="0.45">
      <c r="A169" t="s">
        <v>115</v>
      </c>
      <c r="B169" t="s">
        <v>40</v>
      </c>
      <c r="C169">
        <v>590</v>
      </c>
      <c r="D169" t="s">
        <v>117</v>
      </c>
      <c r="E169">
        <v>420</v>
      </c>
      <c r="F169">
        <v>0.09</v>
      </c>
    </row>
    <row r="170" spans="1:6" x14ac:dyDescent="0.45">
      <c r="A170" t="s">
        <v>115</v>
      </c>
      <c r="B170" t="s">
        <v>40</v>
      </c>
      <c r="C170">
        <v>820</v>
      </c>
      <c r="D170" t="s">
        <v>10</v>
      </c>
      <c r="E170">
        <v>590</v>
      </c>
      <c r="F170">
        <v>0.1</v>
      </c>
    </row>
    <row r="171" spans="1:6" x14ac:dyDescent="0.45">
      <c r="A171" t="s">
        <v>115</v>
      </c>
      <c r="B171" t="s">
        <v>40</v>
      </c>
      <c r="C171">
        <v>1020</v>
      </c>
      <c r="D171" t="s">
        <v>11</v>
      </c>
      <c r="E171">
        <v>730</v>
      </c>
      <c r="F171">
        <v>0.11</v>
      </c>
    </row>
    <row r="172" spans="1:6" x14ac:dyDescent="0.45">
      <c r="A172" t="s">
        <v>115</v>
      </c>
      <c r="B172" t="s">
        <v>40</v>
      </c>
      <c r="C172">
        <v>1500</v>
      </c>
      <c r="D172" t="s">
        <v>118</v>
      </c>
      <c r="E172">
        <v>1080</v>
      </c>
      <c r="F172">
        <v>0.14000000000000001</v>
      </c>
    </row>
    <row r="173" spans="1:6" x14ac:dyDescent="0.45">
      <c r="A173" t="s">
        <v>115</v>
      </c>
      <c r="B173" t="s">
        <v>40</v>
      </c>
      <c r="C173">
        <v>1980</v>
      </c>
      <c r="D173" t="s">
        <v>13</v>
      </c>
      <c r="E173">
        <v>1430</v>
      </c>
      <c r="F173">
        <v>0.18</v>
      </c>
    </row>
    <row r="174" spans="1:6" x14ac:dyDescent="0.45">
      <c r="A174" t="s">
        <v>115</v>
      </c>
      <c r="B174" t="s">
        <v>40</v>
      </c>
      <c r="C174">
        <v>3050</v>
      </c>
      <c r="D174" t="s">
        <v>14</v>
      </c>
      <c r="E174">
        <v>2200</v>
      </c>
      <c r="F174">
        <v>0.2</v>
      </c>
    </row>
    <row r="175" spans="1:6" x14ac:dyDescent="0.45">
      <c r="A175" t="s">
        <v>115</v>
      </c>
      <c r="B175" t="s">
        <v>40</v>
      </c>
      <c r="C175">
        <v>4880</v>
      </c>
      <c r="D175" t="s">
        <v>15</v>
      </c>
      <c r="E175">
        <v>3510</v>
      </c>
      <c r="F175">
        <v>0.27</v>
      </c>
    </row>
    <row r="176" spans="1:6" x14ac:dyDescent="0.45">
      <c r="A176" t="s">
        <v>115</v>
      </c>
      <c r="B176" t="s">
        <v>40</v>
      </c>
      <c r="C176">
        <v>6640</v>
      </c>
      <c r="D176" t="s">
        <v>119</v>
      </c>
      <c r="E176">
        <v>4780</v>
      </c>
      <c r="F176">
        <v>0.38</v>
      </c>
    </row>
    <row r="177" spans="1:6" x14ac:dyDescent="0.45">
      <c r="A177" t="s">
        <v>115</v>
      </c>
      <c r="B177" t="s">
        <v>40</v>
      </c>
      <c r="C177">
        <v>10860</v>
      </c>
      <c r="D177" t="s">
        <v>17</v>
      </c>
      <c r="E177">
        <v>7820</v>
      </c>
      <c r="F177">
        <v>0.39</v>
      </c>
    </row>
    <row r="178" spans="1:6" x14ac:dyDescent="0.45">
      <c r="A178" t="s">
        <v>120</v>
      </c>
      <c r="B178" t="s">
        <v>44</v>
      </c>
      <c r="C178">
        <v>590</v>
      </c>
      <c r="D178" t="s">
        <v>10</v>
      </c>
      <c r="E178">
        <v>420</v>
      </c>
      <c r="F178">
        <v>0</v>
      </c>
    </row>
    <row r="179" spans="1:6" x14ac:dyDescent="0.45">
      <c r="A179" t="s">
        <v>120</v>
      </c>
      <c r="B179" t="s">
        <v>44</v>
      </c>
      <c r="C179">
        <v>760</v>
      </c>
      <c r="D179" t="s">
        <v>11</v>
      </c>
      <c r="E179">
        <v>550</v>
      </c>
      <c r="F179">
        <v>0</v>
      </c>
    </row>
    <row r="180" spans="1:6" x14ac:dyDescent="0.45">
      <c r="A180" t="s">
        <v>120</v>
      </c>
      <c r="B180" t="s">
        <v>44</v>
      </c>
      <c r="C180">
        <v>920</v>
      </c>
      <c r="D180" t="s">
        <v>118</v>
      </c>
      <c r="E180">
        <v>660</v>
      </c>
      <c r="F180">
        <v>0</v>
      </c>
    </row>
    <row r="181" spans="1:6" x14ac:dyDescent="0.45">
      <c r="A181" t="s">
        <v>120</v>
      </c>
      <c r="B181" t="s">
        <v>44</v>
      </c>
      <c r="C181">
        <v>1180</v>
      </c>
      <c r="D181" t="s">
        <v>13</v>
      </c>
      <c r="E181">
        <v>850</v>
      </c>
      <c r="F181">
        <v>0</v>
      </c>
    </row>
    <row r="182" spans="1:6" x14ac:dyDescent="0.45">
      <c r="A182" t="s">
        <v>120</v>
      </c>
      <c r="B182" t="s">
        <v>44</v>
      </c>
      <c r="C182">
        <v>1720</v>
      </c>
      <c r="D182" t="s">
        <v>14</v>
      </c>
      <c r="E182">
        <v>1240</v>
      </c>
      <c r="F182">
        <v>0</v>
      </c>
    </row>
    <row r="183" spans="1:6" x14ac:dyDescent="0.45">
      <c r="A183" t="s">
        <v>120</v>
      </c>
      <c r="B183" t="s">
        <v>44</v>
      </c>
      <c r="C183">
        <v>3070</v>
      </c>
      <c r="D183" t="s">
        <v>15</v>
      </c>
      <c r="E183">
        <v>2210</v>
      </c>
      <c r="F183">
        <v>0</v>
      </c>
    </row>
    <row r="184" spans="1:6" x14ac:dyDescent="0.45">
      <c r="A184" t="s">
        <v>120</v>
      </c>
      <c r="B184" t="s">
        <v>44</v>
      </c>
      <c r="C184">
        <v>5130</v>
      </c>
      <c r="D184" t="s">
        <v>119</v>
      </c>
      <c r="E184">
        <v>3690</v>
      </c>
      <c r="F184">
        <v>0</v>
      </c>
    </row>
    <row r="185" spans="1:6" x14ac:dyDescent="0.45">
      <c r="A185" t="s">
        <v>120</v>
      </c>
      <c r="B185" t="s">
        <v>44</v>
      </c>
      <c r="C185">
        <v>8820</v>
      </c>
      <c r="D185" t="s">
        <v>17</v>
      </c>
      <c r="E185">
        <v>6350</v>
      </c>
      <c r="F185">
        <v>0</v>
      </c>
    </row>
    <row r="186" spans="1:6" x14ac:dyDescent="0.45">
      <c r="A186" t="s">
        <v>121</v>
      </c>
      <c r="B186" t="s">
        <v>44</v>
      </c>
      <c r="C186">
        <v>710</v>
      </c>
      <c r="D186" t="s">
        <v>10</v>
      </c>
      <c r="E186">
        <v>510</v>
      </c>
      <c r="F186">
        <v>0</v>
      </c>
    </row>
    <row r="187" spans="1:6" x14ac:dyDescent="0.45">
      <c r="A187" t="s">
        <v>121</v>
      </c>
      <c r="B187" t="s">
        <v>44</v>
      </c>
      <c r="C187">
        <v>1010</v>
      </c>
      <c r="D187" t="s">
        <v>11</v>
      </c>
      <c r="E187">
        <v>730</v>
      </c>
      <c r="F187">
        <v>0</v>
      </c>
    </row>
    <row r="188" spans="1:6" x14ac:dyDescent="0.45">
      <c r="A188" t="s">
        <v>121</v>
      </c>
      <c r="B188" t="s">
        <v>44</v>
      </c>
      <c r="C188">
        <v>1560</v>
      </c>
      <c r="D188" t="s">
        <v>118</v>
      </c>
      <c r="E188">
        <v>1120</v>
      </c>
      <c r="F188">
        <v>0</v>
      </c>
    </row>
    <row r="189" spans="1:6" x14ac:dyDescent="0.45">
      <c r="A189" t="s">
        <v>121</v>
      </c>
      <c r="B189" t="s">
        <v>44</v>
      </c>
      <c r="C189">
        <v>2040</v>
      </c>
      <c r="D189" t="s">
        <v>13</v>
      </c>
      <c r="E189">
        <v>1470</v>
      </c>
      <c r="F189">
        <v>0</v>
      </c>
    </row>
    <row r="190" spans="1:6" x14ac:dyDescent="0.45">
      <c r="A190" t="s">
        <v>121</v>
      </c>
      <c r="B190" t="s">
        <v>44</v>
      </c>
      <c r="C190">
        <v>3210</v>
      </c>
      <c r="D190" t="s">
        <v>14</v>
      </c>
      <c r="E190">
        <v>2310</v>
      </c>
      <c r="F190">
        <v>0</v>
      </c>
    </row>
    <row r="191" spans="1:6" x14ac:dyDescent="0.45">
      <c r="A191" t="s">
        <v>121</v>
      </c>
      <c r="B191" t="s">
        <v>44</v>
      </c>
      <c r="C191">
        <v>4160</v>
      </c>
      <c r="D191" t="s">
        <v>15</v>
      </c>
      <c r="E191">
        <v>3000</v>
      </c>
      <c r="F191">
        <v>0</v>
      </c>
    </row>
    <row r="192" spans="1:6" x14ac:dyDescent="0.45">
      <c r="A192" t="s">
        <v>121</v>
      </c>
      <c r="B192" t="s">
        <v>44</v>
      </c>
      <c r="C192">
        <v>7020</v>
      </c>
      <c r="D192" t="s">
        <v>119</v>
      </c>
      <c r="E192">
        <v>5050</v>
      </c>
      <c r="F192">
        <v>0</v>
      </c>
    </row>
    <row r="193" spans="1:6" x14ac:dyDescent="0.45">
      <c r="A193" t="s">
        <v>121</v>
      </c>
      <c r="B193" t="s">
        <v>44</v>
      </c>
      <c r="C193">
        <v>13560</v>
      </c>
      <c r="D193" t="s">
        <v>17</v>
      </c>
      <c r="E193">
        <v>9760</v>
      </c>
      <c r="F193">
        <v>0</v>
      </c>
    </row>
    <row r="194" spans="1:6" x14ac:dyDescent="0.45">
      <c r="A194" t="s">
        <v>115</v>
      </c>
      <c r="B194" t="s">
        <v>122</v>
      </c>
      <c r="C194">
        <v>40200</v>
      </c>
      <c r="D194" t="s">
        <v>123</v>
      </c>
      <c r="E194">
        <v>29350</v>
      </c>
      <c r="F194">
        <v>8.4</v>
      </c>
    </row>
    <row r="195" spans="1:6" x14ac:dyDescent="0.45">
      <c r="A195" t="s">
        <v>115</v>
      </c>
      <c r="B195" t="s">
        <v>122</v>
      </c>
      <c r="C195">
        <v>57600</v>
      </c>
      <c r="D195" t="s">
        <v>124</v>
      </c>
      <c r="E195">
        <v>42050</v>
      </c>
      <c r="F195">
        <v>9</v>
      </c>
    </row>
    <row r="196" spans="1:6" x14ac:dyDescent="0.45">
      <c r="A196" t="s">
        <v>115</v>
      </c>
      <c r="B196" t="s">
        <v>122</v>
      </c>
      <c r="C196">
        <v>45600</v>
      </c>
      <c r="D196" t="s">
        <v>125</v>
      </c>
      <c r="E196">
        <v>33290</v>
      </c>
      <c r="F196">
        <v>6</v>
      </c>
    </row>
    <row r="197" spans="1:6" x14ac:dyDescent="0.45">
      <c r="A197" t="s">
        <v>126</v>
      </c>
      <c r="B197" t="s">
        <v>127</v>
      </c>
      <c r="C197">
        <v>7490</v>
      </c>
      <c r="D197" t="s">
        <v>9</v>
      </c>
      <c r="E197">
        <v>4870</v>
      </c>
      <c r="F197">
        <v>0.08</v>
      </c>
    </row>
    <row r="198" spans="1:6" x14ac:dyDescent="0.45">
      <c r="A198" t="s">
        <v>126</v>
      </c>
      <c r="B198" t="s">
        <v>127</v>
      </c>
      <c r="C198">
        <v>10000</v>
      </c>
      <c r="D198" t="s">
        <v>10</v>
      </c>
      <c r="E198">
        <v>6500</v>
      </c>
      <c r="F198">
        <v>0.09</v>
      </c>
    </row>
    <row r="199" spans="1:6" x14ac:dyDescent="0.45">
      <c r="A199" t="s">
        <v>126</v>
      </c>
      <c r="B199" t="s">
        <v>127</v>
      </c>
      <c r="C199">
        <v>13700</v>
      </c>
      <c r="D199" t="s">
        <v>11</v>
      </c>
      <c r="E199">
        <v>8910</v>
      </c>
      <c r="F199">
        <v>0.12</v>
      </c>
    </row>
    <row r="200" spans="1:6" x14ac:dyDescent="0.45">
      <c r="A200" t="s">
        <v>126</v>
      </c>
      <c r="B200" t="s">
        <v>127</v>
      </c>
      <c r="C200">
        <v>23200</v>
      </c>
      <c r="D200" t="s">
        <v>12</v>
      </c>
      <c r="E200">
        <v>15080</v>
      </c>
      <c r="F200">
        <v>0.14000000000000001</v>
      </c>
    </row>
    <row r="201" spans="1:6" x14ac:dyDescent="0.45">
      <c r="A201" t="s">
        <v>126</v>
      </c>
      <c r="B201" t="s">
        <v>127</v>
      </c>
      <c r="C201">
        <v>30800</v>
      </c>
      <c r="D201" t="s">
        <v>13</v>
      </c>
      <c r="E201">
        <v>20020</v>
      </c>
      <c r="F201">
        <v>0.16</v>
      </c>
    </row>
    <row r="202" spans="1:6" x14ac:dyDescent="0.45">
      <c r="A202" t="s">
        <v>126</v>
      </c>
      <c r="B202" t="s">
        <v>127</v>
      </c>
      <c r="C202">
        <v>45000</v>
      </c>
      <c r="D202" t="s">
        <v>14</v>
      </c>
      <c r="E202">
        <v>29250</v>
      </c>
      <c r="F202">
        <v>0.18</v>
      </c>
    </row>
    <row r="203" spans="1:6" x14ac:dyDescent="0.45">
      <c r="A203" t="s">
        <v>126</v>
      </c>
      <c r="B203" t="s">
        <v>127</v>
      </c>
      <c r="C203">
        <v>118000</v>
      </c>
      <c r="D203" t="s">
        <v>128</v>
      </c>
      <c r="E203">
        <v>76700</v>
      </c>
      <c r="F203">
        <v>0.32</v>
      </c>
    </row>
    <row r="204" spans="1:6" x14ac:dyDescent="0.45">
      <c r="A204" t="s">
        <v>126</v>
      </c>
      <c r="B204" t="s">
        <v>127</v>
      </c>
      <c r="C204">
        <v>121000</v>
      </c>
      <c r="D204" t="s">
        <v>129</v>
      </c>
      <c r="E204">
        <v>78650</v>
      </c>
      <c r="F204">
        <v>0.39</v>
      </c>
    </row>
    <row r="205" spans="1:6" x14ac:dyDescent="0.45">
      <c r="A205" t="s">
        <v>126</v>
      </c>
      <c r="B205" t="s">
        <v>127</v>
      </c>
      <c r="C205">
        <v>139000</v>
      </c>
      <c r="D205" t="s">
        <v>130</v>
      </c>
      <c r="E205">
        <v>90350</v>
      </c>
      <c r="F205">
        <v>0.48</v>
      </c>
    </row>
    <row r="206" spans="1:6" x14ac:dyDescent="0.45">
      <c r="A206" t="s">
        <v>126</v>
      </c>
      <c r="B206" t="s">
        <v>127</v>
      </c>
      <c r="C206">
        <v>212000</v>
      </c>
      <c r="D206" t="s">
        <v>131</v>
      </c>
      <c r="E206">
        <v>137800</v>
      </c>
      <c r="F206">
        <v>0.56999999999999995</v>
      </c>
    </row>
    <row r="207" spans="1:6" x14ac:dyDescent="0.45">
      <c r="A207" t="s">
        <v>126</v>
      </c>
      <c r="B207" t="s">
        <v>127</v>
      </c>
      <c r="C207">
        <v>300000</v>
      </c>
      <c r="D207" t="s">
        <v>132</v>
      </c>
      <c r="E207">
        <v>195000</v>
      </c>
      <c r="F207">
        <v>0.65</v>
      </c>
    </row>
    <row r="208" spans="1:6" x14ac:dyDescent="0.45">
      <c r="A208" t="s">
        <v>126</v>
      </c>
      <c r="B208" t="s">
        <v>127</v>
      </c>
      <c r="C208">
        <v>355000</v>
      </c>
      <c r="D208" t="s">
        <v>133</v>
      </c>
      <c r="E208">
        <v>230750</v>
      </c>
      <c r="F208">
        <v>0.95</v>
      </c>
    </row>
    <row r="209" spans="1:6" x14ac:dyDescent="0.45">
      <c r="A209" t="s">
        <v>126</v>
      </c>
      <c r="B209" t="s">
        <v>127</v>
      </c>
      <c r="C209">
        <v>538000</v>
      </c>
      <c r="D209" t="s">
        <v>134</v>
      </c>
      <c r="E209">
        <v>349700</v>
      </c>
      <c r="F209">
        <v>1.04</v>
      </c>
    </row>
    <row r="210" spans="1:6" x14ac:dyDescent="0.45">
      <c r="A210" t="s">
        <v>126</v>
      </c>
      <c r="B210" t="s">
        <v>127</v>
      </c>
      <c r="C210">
        <v>5550</v>
      </c>
      <c r="D210" t="s">
        <v>135</v>
      </c>
      <c r="E210">
        <v>3610</v>
      </c>
      <c r="F210">
        <v>0.08</v>
      </c>
    </row>
    <row r="211" spans="1:6" x14ac:dyDescent="0.45">
      <c r="A211" t="s">
        <v>126</v>
      </c>
      <c r="B211" t="s">
        <v>127</v>
      </c>
      <c r="C211">
        <v>6670</v>
      </c>
      <c r="D211" t="s">
        <v>136</v>
      </c>
      <c r="E211">
        <v>4340</v>
      </c>
      <c r="F211">
        <v>0.09</v>
      </c>
    </row>
    <row r="212" spans="1:6" x14ac:dyDescent="0.45">
      <c r="A212" t="s">
        <v>126</v>
      </c>
      <c r="B212" t="s">
        <v>127</v>
      </c>
      <c r="C212">
        <v>9420</v>
      </c>
      <c r="D212" t="s">
        <v>137</v>
      </c>
      <c r="E212">
        <v>6120</v>
      </c>
      <c r="F212">
        <v>0.12</v>
      </c>
    </row>
    <row r="213" spans="1:6" x14ac:dyDescent="0.45">
      <c r="A213" t="s">
        <v>126</v>
      </c>
      <c r="B213" t="s">
        <v>127</v>
      </c>
      <c r="C213">
        <v>13000</v>
      </c>
      <c r="D213" t="s">
        <v>138</v>
      </c>
      <c r="E213">
        <v>8450</v>
      </c>
      <c r="F213">
        <v>0.14000000000000001</v>
      </c>
    </row>
    <row r="214" spans="1:6" x14ac:dyDescent="0.45">
      <c r="A214" t="s">
        <v>126</v>
      </c>
      <c r="B214" t="s">
        <v>127</v>
      </c>
      <c r="C214">
        <v>16300</v>
      </c>
      <c r="D214" t="s">
        <v>139</v>
      </c>
      <c r="E214">
        <v>10600</v>
      </c>
      <c r="F214">
        <v>0.16</v>
      </c>
    </row>
    <row r="215" spans="1:6" x14ac:dyDescent="0.45">
      <c r="A215" t="s">
        <v>126</v>
      </c>
      <c r="B215" t="s">
        <v>127</v>
      </c>
      <c r="C215">
        <v>24700</v>
      </c>
      <c r="D215" t="s">
        <v>140</v>
      </c>
      <c r="E215">
        <v>16060</v>
      </c>
      <c r="F215">
        <v>0.18</v>
      </c>
    </row>
    <row r="216" spans="1:6" x14ac:dyDescent="0.45">
      <c r="A216" t="s">
        <v>126</v>
      </c>
      <c r="B216" t="s">
        <v>127</v>
      </c>
      <c r="C216">
        <v>51100</v>
      </c>
      <c r="D216" t="s">
        <v>141</v>
      </c>
      <c r="E216">
        <v>33220</v>
      </c>
      <c r="F216">
        <v>0.32</v>
      </c>
    </row>
    <row r="217" spans="1:6" x14ac:dyDescent="0.45">
      <c r="A217" t="s">
        <v>126</v>
      </c>
      <c r="B217" t="s">
        <v>127</v>
      </c>
      <c r="C217">
        <v>69600</v>
      </c>
      <c r="D217" t="s">
        <v>142</v>
      </c>
      <c r="E217">
        <v>45240</v>
      </c>
      <c r="F217">
        <v>0.39</v>
      </c>
    </row>
    <row r="218" spans="1:6" x14ac:dyDescent="0.45">
      <c r="A218" t="s">
        <v>143</v>
      </c>
      <c r="B218" t="s">
        <v>144</v>
      </c>
      <c r="C218">
        <v>7360</v>
      </c>
      <c r="D218" t="s">
        <v>145</v>
      </c>
      <c r="E218">
        <v>4780</v>
      </c>
      <c r="F218">
        <v>0.08</v>
      </c>
    </row>
    <row r="219" spans="1:6" x14ac:dyDescent="0.45">
      <c r="A219" t="s">
        <v>143</v>
      </c>
      <c r="B219" t="s">
        <v>144</v>
      </c>
      <c r="C219">
        <v>9410</v>
      </c>
      <c r="D219" t="s">
        <v>146</v>
      </c>
      <c r="E219">
        <v>6120</v>
      </c>
      <c r="F219">
        <v>0.09</v>
      </c>
    </row>
    <row r="220" spans="1:6" x14ac:dyDescent="0.45">
      <c r="A220" t="s">
        <v>143</v>
      </c>
      <c r="B220" t="s">
        <v>144</v>
      </c>
      <c r="C220">
        <v>14500</v>
      </c>
      <c r="D220" t="s">
        <v>147</v>
      </c>
      <c r="E220">
        <v>9430</v>
      </c>
      <c r="F220">
        <v>0.12</v>
      </c>
    </row>
    <row r="221" spans="1:6" x14ac:dyDescent="0.45">
      <c r="A221" t="s">
        <v>143</v>
      </c>
      <c r="B221" t="s">
        <v>144</v>
      </c>
      <c r="C221">
        <v>20700</v>
      </c>
      <c r="D221" t="s">
        <v>148</v>
      </c>
      <c r="E221">
        <v>13460</v>
      </c>
      <c r="F221">
        <v>0.14000000000000001</v>
      </c>
    </row>
    <row r="222" spans="1:6" x14ac:dyDescent="0.45">
      <c r="A222" t="s">
        <v>143</v>
      </c>
      <c r="B222" t="s">
        <v>144</v>
      </c>
      <c r="C222">
        <v>27000</v>
      </c>
      <c r="D222" t="s">
        <v>149</v>
      </c>
      <c r="E222">
        <v>17550</v>
      </c>
      <c r="F222">
        <v>0.16</v>
      </c>
    </row>
    <row r="223" spans="1:6" x14ac:dyDescent="0.45">
      <c r="A223" t="s">
        <v>143</v>
      </c>
      <c r="B223" t="s">
        <v>144</v>
      </c>
      <c r="C223">
        <v>43300</v>
      </c>
      <c r="D223" t="s">
        <v>150</v>
      </c>
      <c r="E223">
        <v>28150</v>
      </c>
      <c r="F223">
        <v>0.18</v>
      </c>
    </row>
    <row r="224" spans="1:6" x14ac:dyDescent="0.45">
      <c r="A224" t="s">
        <v>143</v>
      </c>
      <c r="B224" t="s">
        <v>144</v>
      </c>
      <c r="C224">
        <v>121000</v>
      </c>
      <c r="D224" t="s">
        <v>151</v>
      </c>
      <c r="E224">
        <v>78650</v>
      </c>
      <c r="F224">
        <v>0.18</v>
      </c>
    </row>
    <row r="225" spans="1:6" x14ac:dyDescent="0.45">
      <c r="A225" t="s">
        <v>143</v>
      </c>
      <c r="B225" t="s">
        <v>144</v>
      </c>
      <c r="C225">
        <v>159000</v>
      </c>
      <c r="D225" t="s">
        <v>152</v>
      </c>
      <c r="E225">
        <v>103350</v>
      </c>
      <c r="F225">
        <v>0.32</v>
      </c>
    </row>
    <row r="226" spans="1:6" x14ac:dyDescent="0.45">
      <c r="A226" t="s">
        <v>143</v>
      </c>
      <c r="B226" t="s">
        <v>144</v>
      </c>
      <c r="C226">
        <v>182000</v>
      </c>
      <c r="D226" t="s">
        <v>153</v>
      </c>
      <c r="E226">
        <v>118300</v>
      </c>
      <c r="F226">
        <v>0.39</v>
      </c>
    </row>
    <row r="227" spans="1:6" x14ac:dyDescent="0.45">
      <c r="A227" t="s">
        <v>143</v>
      </c>
      <c r="B227" t="s">
        <v>144</v>
      </c>
      <c r="C227">
        <v>243000</v>
      </c>
      <c r="D227" t="s">
        <v>154</v>
      </c>
      <c r="E227">
        <v>157950</v>
      </c>
      <c r="F227">
        <v>0.48</v>
      </c>
    </row>
    <row r="228" spans="1:6" x14ac:dyDescent="0.45">
      <c r="A228" t="s">
        <v>143</v>
      </c>
      <c r="B228" t="s">
        <v>144</v>
      </c>
      <c r="C228">
        <v>313000</v>
      </c>
      <c r="D228" t="s">
        <v>155</v>
      </c>
      <c r="E228">
        <v>203450</v>
      </c>
      <c r="F228">
        <v>0.56999999999999995</v>
      </c>
    </row>
    <row r="229" spans="1:6" x14ac:dyDescent="0.45">
      <c r="A229" t="s">
        <v>143</v>
      </c>
      <c r="B229" t="s">
        <v>144</v>
      </c>
      <c r="C229">
        <v>426000</v>
      </c>
      <c r="D229" t="s">
        <v>156</v>
      </c>
      <c r="E229">
        <v>276900</v>
      </c>
      <c r="F229">
        <v>0.65</v>
      </c>
    </row>
    <row r="230" spans="1:6" x14ac:dyDescent="0.45">
      <c r="A230" t="s">
        <v>143</v>
      </c>
      <c r="B230" t="s">
        <v>144</v>
      </c>
      <c r="C230">
        <v>633000</v>
      </c>
      <c r="D230" t="s">
        <v>157</v>
      </c>
      <c r="E230">
        <v>411450</v>
      </c>
      <c r="F230">
        <v>0.95</v>
      </c>
    </row>
    <row r="231" spans="1:6" x14ac:dyDescent="0.45">
      <c r="A231" t="s">
        <v>143</v>
      </c>
      <c r="B231" t="s">
        <v>144</v>
      </c>
      <c r="C231">
        <v>924000</v>
      </c>
      <c r="D231" t="s">
        <v>158</v>
      </c>
      <c r="E231">
        <v>600600</v>
      </c>
      <c r="F231">
        <v>1.1299999999999999</v>
      </c>
    </row>
    <row r="232" spans="1:6" x14ac:dyDescent="0.45">
      <c r="A232" t="s">
        <v>143</v>
      </c>
      <c r="B232" t="s">
        <v>144</v>
      </c>
      <c r="C232">
        <v>1360000</v>
      </c>
      <c r="D232" t="s">
        <v>159</v>
      </c>
      <c r="E232">
        <v>884000</v>
      </c>
      <c r="F232">
        <v>1.4</v>
      </c>
    </row>
    <row r="233" spans="1:6" x14ac:dyDescent="0.45">
      <c r="A233" t="s">
        <v>160</v>
      </c>
      <c r="B233" t="s">
        <v>127</v>
      </c>
      <c r="C233">
        <v>29900</v>
      </c>
      <c r="D233" t="s">
        <v>161</v>
      </c>
      <c r="E233">
        <v>19440</v>
      </c>
      <c r="F233">
        <v>0.1</v>
      </c>
    </row>
    <row r="234" spans="1:6" x14ac:dyDescent="0.45">
      <c r="A234" t="s">
        <v>160</v>
      </c>
      <c r="B234" t="s">
        <v>127</v>
      </c>
      <c r="C234">
        <v>31300</v>
      </c>
      <c r="D234" t="s">
        <v>152</v>
      </c>
      <c r="E234">
        <v>20350</v>
      </c>
      <c r="F234">
        <v>0.19</v>
      </c>
    </row>
    <row r="235" spans="1:6" x14ac:dyDescent="0.45">
      <c r="A235" t="s">
        <v>160</v>
      </c>
      <c r="B235" t="s">
        <v>127</v>
      </c>
      <c r="C235">
        <v>36300</v>
      </c>
      <c r="D235" t="s">
        <v>153</v>
      </c>
      <c r="E235">
        <v>23600</v>
      </c>
      <c r="F235">
        <v>0.23</v>
      </c>
    </row>
    <row r="236" spans="1:6" x14ac:dyDescent="0.45">
      <c r="A236" t="s">
        <v>160</v>
      </c>
      <c r="B236" t="s">
        <v>127</v>
      </c>
      <c r="C236">
        <v>46900</v>
      </c>
      <c r="D236" t="s">
        <v>154</v>
      </c>
      <c r="E236">
        <v>30490</v>
      </c>
      <c r="F236">
        <v>0.28000000000000003</v>
      </c>
    </row>
    <row r="237" spans="1:6" x14ac:dyDescent="0.45">
      <c r="A237" t="s">
        <v>160</v>
      </c>
      <c r="B237" t="s">
        <v>127</v>
      </c>
      <c r="C237">
        <v>66700</v>
      </c>
      <c r="D237" t="s">
        <v>155</v>
      </c>
      <c r="E237">
        <v>43360</v>
      </c>
      <c r="F237">
        <v>0.34</v>
      </c>
    </row>
    <row r="238" spans="1:6" x14ac:dyDescent="0.45">
      <c r="A238" t="s">
        <v>160</v>
      </c>
      <c r="B238" t="s">
        <v>127</v>
      </c>
      <c r="C238">
        <v>72900</v>
      </c>
      <c r="D238" t="s">
        <v>156</v>
      </c>
      <c r="E238">
        <v>47390</v>
      </c>
      <c r="F238">
        <v>0.38</v>
      </c>
    </row>
    <row r="239" spans="1:6" x14ac:dyDescent="0.45">
      <c r="A239" t="s">
        <v>160</v>
      </c>
      <c r="B239" t="s">
        <v>127</v>
      </c>
      <c r="C239">
        <v>123000</v>
      </c>
      <c r="D239" t="s">
        <v>157</v>
      </c>
      <c r="E239">
        <v>79950</v>
      </c>
      <c r="F239">
        <v>0.55000000000000004</v>
      </c>
    </row>
    <row r="240" spans="1:6" x14ac:dyDescent="0.45">
      <c r="A240" t="s">
        <v>160</v>
      </c>
      <c r="B240" t="s">
        <v>127</v>
      </c>
      <c r="C240">
        <v>239000</v>
      </c>
      <c r="D240" t="s">
        <v>158</v>
      </c>
      <c r="E240">
        <v>155350</v>
      </c>
      <c r="F240">
        <v>0.63</v>
      </c>
    </row>
    <row r="241" spans="1:6" x14ac:dyDescent="0.45">
      <c r="A241" t="s">
        <v>160</v>
      </c>
      <c r="B241" t="s">
        <v>127</v>
      </c>
      <c r="C241">
        <v>304000</v>
      </c>
      <c r="D241" t="s">
        <v>159</v>
      </c>
      <c r="E241">
        <v>197600</v>
      </c>
      <c r="F241">
        <v>0.77</v>
      </c>
    </row>
    <row r="242" spans="1:6" x14ac:dyDescent="0.45">
      <c r="A242" t="s">
        <v>162</v>
      </c>
      <c r="B242" t="s">
        <v>127</v>
      </c>
      <c r="C242">
        <v>9710</v>
      </c>
      <c r="D242" t="s">
        <v>9</v>
      </c>
      <c r="E242">
        <v>6310</v>
      </c>
      <c r="F242">
        <v>0.08</v>
      </c>
    </row>
    <row r="243" spans="1:6" x14ac:dyDescent="0.45">
      <c r="A243" t="s">
        <v>162</v>
      </c>
      <c r="B243" t="s">
        <v>127</v>
      </c>
      <c r="C243">
        <v>13200</v>
      </c>
      <c r="D243" t="s">
        <v>10</v>
      </c>
      <c r="E243">
        <v>8580</v>
      </c>
      <c r="F243">
        <v>0.09</v>
      </c>
    </row>
    <row r="244" spans="1:6" x14ac:dyDescent="0.45">
      <c r="A244" t="s">
        <v>162</v>
      </c>
      <c r="B244" t="s">
        <v>127</v>
      </c>
      <c r="C244">
        <v>18100</v>
      </c>
      <c r="D244" t="s">
        <v>11</v>
      </c>
      <c r="E244">
        <v>11770</v>
      </c>
      <c r="F244">
        <v>0.12</v>
      </c>
    </row>
    <row r="245" spans="1:6" x14ac:dyDescent="0.45">
      <c r="A245" t="s">
        <v>162</v>
      </c>
      <c r="B245" t="s">
        <v>127</v>
      </c>
      <c r="C245">
        <v>34200</v>
      </c>
      <c r="D245" t="s">
        <v>12</v>
      </c>
      <c r="E245">
        <v>22230</v>
      </c>
      <c r="F245">
        <v>0.14000000000000001</v>
      </c>
    </row>
    <row r="246" spans="1:6" x14ac:dyDescent="0.45">
      <c r="A246" t="s">
        <v>162</v>
      </c>
      <c r="B246" t="s">
        <v>127</v>
      </c>
      <c r="C246">
        <v>37500</v>
      </c>
      <c r="D246" t="s">
        <v>13</v>
      </c>
      <c r="E246">
        <v>24380</v>
      </c>
      <c r="F246">
        <v>0.16</v>
      </c>
    </row>
    <row r="247" spans="1:6" x14ac:dyDescent="0.45">
      <c r="A247" t="s">
        <v>162</v>
      </c>
      <c r="B247" t="s">
        <v>127</v>
      </c>
      <c r="C247">
        <v>60700</v>
      </c>
      <c r="D247" t="s">
        <v>14</v>
      </c>
      <c r="E247">
        <v>39460</v>
      </c>
      <c r="F247">
        <v>0.18</v>
      </c>
    </row>
    <row r="248" spans="1:6" x14ac:dyDescent="0.45">
      <c r="A248" t="s">
        <v>162</v>
      </c>
      <c r="B248" t="s">
        <v>127</v>
      </c>
      <c r="C248">
        <v>118000</v>
      </c>
      <c r="D248" t="s">
        <v>128</v>
      </c>
      <c r="E248">
        <v>76700</v>
      </c>
      <c r="F248">
        <v>0.18</v>
      </c>
    </row>
    <row r="249" spans="1:6" x14ac:dyDescent="0.45">
      <c r="A249" t="s">
        <v>162</v>
      </c>
      <c r="B249" t="s">
        <v>127</v>
      </c>
      <c r="C249">
        <v>121000</v>
      </c>
      <c r="D249" t="s">
        <v>129</v>
      </c>
      <c r="E249">
        <v>78650</v>
      </c>
      <c r="F249">
        <v>0.32</v>
      </c>
    </row>
    <row r="250" spans="1:6" x14ac:dyDescent="0.45">
      <c r="A250" t="s">
        <v>162</v>
      </c>
      <c r="B250" t="s">
        <v>127</v>
      </c>
      <c r="C250">
        <v>139000</v>
      </c>
      <c r="D250" t="s">
        <v>130</v>
      </c>
      <c r="E250">
        <v>90350</v>
      </c>
      <c r="F250">
        <v>0.39</v>
      </c>
    </row>
    <row r="251" spans="1:6" x14ac:dyDescent="0.45">
      <c r="A251" t="s">
        <v>162</v>
      </c>
      <c r="B251" t="s">
        <v>127</v>
      </c>
      <c r="C251">
        <v>212000</v>
      </c>
      <c r="D251" t="s">
        <v>131</v>
      </c>
      <c r="E251">
        <v>137800</v>
      </c>
      <c r="F251">
        <v>0.48</v>
      </c>
    </row>
    <row r="252" spans="1:6" x14ac:dyDescent="0.45">
      <c r="A252" t="s">
        <v>162</v>
      </c>
      <c r="B252" t="s">
        <v>127</v>
      </c>
      <c r="C252">
        <v>300000</v>
      </c>
      <c r="D252" t="s">
        <v>132</v>
      </c>
      <c r="E252">
        <v>195000</v>
      </c>
      <c r="F252">
        <v>0.56999999999999995</v>
      </c>
    </row>
    <row r="253" spans="1:6" x14ac:dyDescent="0.45">
      <c r="A253" t="s">
        <v>162</v>
      </c>
      <c r="B253" t="s">
        <v>127</v>
      </c>
      <c r="C253">
        <v>355000</v>
      </c>
      <c r="D253" t="s">
        <v>133</v>
      </c>
      <c r="E253">
        <v>230750</v>
      </c>
      <c r="F253">
        <v>0.65</v>
      </c>
    </row>
    <row r="254" spans="1:6" x14ac:dyDescent="0.45">
      <c r="A254" t="s">
        <v>162</v>
      </c>
      <c r="B254" t="s">
        <v>127</v>
      </c>
      <c r="C254">
        <v>538000</v>
      </c>
      <c r="D254" t="s">
        <v>134</v>
      </c>
      <c r="E254">
        <v>349700</v>
      </c>
      <c r="F254">
        <v>0.95</v>
      </c>
    </row>
    <row r="255" spans="1:6" x14ac:dyDescent="0.45">
      <c r="A255" t="s">
        <v>163</v>
      </c>
      <c r="B255" t="s">
        <v>144</v>
      </c>
      <c r="C255">
        <v>13500</v>
      </c>
      <c r="D255" t="s">
        <v>9</v>
      </c>
      <c r="E255">
        <v>8780</v>
      </c>
      <c r="F255">
        <v>0.08</v>
      </c>
    </row>
    <row r="256" spans="1:6" x14ac:dyDescent="0.45">
      <c r="A256" t="s">
        <v>163</v>
      </c>
      <c r="B256" t="s">
        <v>144</v>
      </c>
      <c r="C256">
        <v>15300</v>
      </c>
      <c r="D256" t="s">
        <v>10</v>
      </c>
      <c r="E256">
        <v>9950</v>
      </c>
      <c r="F256">
        <v>0.09</v>
      </c>
    </row>
    <row r="257" spans="1:6" x14ac:dyDescent="0.45">
      <c r="A257" t="s">
        <v>163</v>
      </c>
      <c r="B257" t="s">
        <v>144</v>
      </c>
      <c r="C257">
        <v>19300</v>
      </c>
      <c r="D257" t="s">
        <v>11</v>
      </c>
      <c r="E257">
        <v>12550</v>
      </c>
      <c r="F257">
        <v>0.12</v>
      </c>
    </row>
    <row r="258" spans="1:6" x14ac:dyDescent="0.45">
      <c r="A258" t="s">
        <v>163</v>
      </c>
      <c r="B258" t="s">
        <v>144</v>
      </c>
      <c r="C258">
        <v>30400</v>
      </c>
      <c r="D258" t="s">
        <v>12</v>
      </c>
      <c r="E258">
        <v>19760</v>
      </c>
      <c r="F258">
        <v>0.14000000000000001</v>
      </c>
    </row>
    <row r="259" spans="1:6" x14ac:dyDescent="0.45">
      <c r="A259" t="s">
        <v>163</v>
      </c>
      <c r="B259" t="s">
        <v>144</v>
      </c>
      <c r="C259">
        <v>32200</v>
      </c>
      <c r="D259" t="s">
        <v>13</v>
      </c>
      <c r="E259">
        <v>20930</v>
      </c>
      <c r="F259">
        <v>0.16</v>
      </c>
    </row>
    <row r="260" spans="1:6" x14ac:dyDescent="0.45">
      <c r="A260" t="s">
        <v>163</v>
      </c>
      <c r="B260" t="s">
        <v>144</v>
      </c>
      <c r="C260">
        <v>45300</v>
      </c>
      <c r="D260" t="s">
        <v>14</v>
      </c>
      <c r="E260">
        <v>29450</v>
      </c>
      <c r="F260">
        <v>0.18</v>
      </c>
    </row>
    <row r="261" spans="1:6" x14ac:dyDescent="0.45">
      <c r="A261" t="s">
        <v>163</v>
      </c>
      <c r="B261" t="s">
        <v>144</v>
      </c>
      <c r="C261">
        <v>103000</v>
      </c>
      <c r="D261" t="s">
        <v>128</v>
      </c>
      <c r="E261">
        <v>66950</v>
      </c>
      <c r="F261">
        <v>0.18</v>
      </c>
    </row>
    <row r="262" spans="1:6" x14ac:dyDescent="0.45">
      <c r="A262" t="s">
        <v>163</v>
      </c>
      <c r="B262" t="s">
        <v>144</v>
      </c>
      <c r="C262">
        <v>124000</v>
      </c>
      <c r="D262" t="s">
        <v>129</v>
      </c>
      <c r="E262">
        <v>80600</v>
      </c>
      <c r="F262">
        <v>0.32</v>
      </c>
    </row>
    <row r="263" spans="1:6" x14ac:dyDescent="0.45">
      <c r="A263" t="s">
        <v>163</v>
      </c>
      <c r="B263" t="s">
        <v>144</v>
      </c>
      <c r="C263">
        <v>148000</v>
      </c>
      <c r="D263" t="s">
        <v>130</v>
      </c>
      <c r="E263">
        <v>96200</v>
      </c>
      <c r="F263">
        <v>0.39</v>
      </c>
    </row>
    <row r="264" spans="1:6" x14ac:dyDescent="0.45">
      <c r="A264" t="s">
        <v>163</v>
      </c>
      <c r="B264" t="s">
        <v>144</v>
      </c>
      <c r="C264">
        <v>200000</v>
      </c>
      <c r="D264" t="s">
        <v>131</v>
      </c>
      <c r="E264">
        <v>130000</v>
      </c>
      <c r="F264">
        <v>0.48</v>
      </c>
    </row>
    <row r="265" spans="1:6" x14ac:dyDescent="0.45">
      <c r="A265" t="s">
        <v>163</v>
      </c>
      <c r="B265" t="s">
        <v>144</v>
      </c>
      <c r="C265">
        <v>340000</v>
      </c>
      <c r="D265" t="s">
        <v>132</v>
      </c>
      <c r="E265">
        <v>221000</v>
      </c>
      <c r="F265">
        <v>0.56999999999999995</v>
      </c>
    </row>
    <row r="266" spans="1:6" x14ac:dyDescent="0.45">
      <c r="A266" t="s">
        <v>163</v>
      </c>
      <c r="B266" t="s">
        <v>144</v>
      </c>
      <c r="C266">
        <v>359000</v>
      </c>
      <c r="D266" t="s">
        <v>133</v>
      </c>
      <c r="E266">
        <v>233350</v>
      </c>
      <c r="F266">
        <v>0.65</v>
      </c>
    </row>
    <row r="267" spans="1:6" x14ac:dyDescent="0.45">
      <c r="A267" t="s">
        <v>163</v>
      </c>
      <c r="B267" t="s">
        <v>144</v>
      </c>
      <c r="C267">
        <v>610000</v>
      </c>
      <c r="D267" t="s">
        <v>134</v>
      </c>
      <c r="E267">
        <v>396500</v>
      </c>
      <c r="F267">
        <v>0.95</v>
      </c>
    </row>
    <row r="268" spans="1:6" x14ac:dyDescent="0.45">
      <c r="A268" t="s">
        <v>164</v>
      </c>
      <c r="B268" t="s">
        <v>144</v>
      </c>
      <c r="C268">
        <v>9700</v>
      </c>
      <c r="D268" t="s">
        <v>9</v>
      </c>
      <c r="E268">
        <v>6310</v>
      </c>
      <c r="F268">
        <v>0.08</v>
      </c>
    </row>
    <row r="269" spans="1:6" x14ac:dyDescent="0.45">
      <c r="A269" t="s">
        <v>164</v>
      </c>
      <c r="B269" t="s">
        <v>144</v>
      </c>
      <c r="C269">
        <v>11700</v>
      </c>
      <c r="D269" t="s">
        <v>10</v>
      </c>
      <c r="E269">
        <v>7610</v>
      </c>
      <c r="F269">
        <v>0.09</v>
      </c>
    </row>
    <row r="270" spans="1:6" x14ac:dyDescent="0.45">
      <c r="A270" t="s">
        <v>164</v>
      </c>
      <c r="B270" t="s">
        <v>144</v>
      </c>
      <c r="C270">
        <v>15800</v>
      </c>
      <c r="D270" t="s">
        <v>11</v>
      </c>
      <c r="E270">
        <v>10270</v>
      </c>
      <c r="F270">
        <v>0.12</v>
      </c>
    </row>
    <row r="271" spans="1:6" x14ac:dyDescent="0.45">
      <c r="A271" t="s">
        <v>164</v>
      </c>
      <c r="B271" t="s">
        <v>144</v>
      </c>
      <c r="C271">
        <v>23600</v>
      </c>
      <c r="D271" t="s">
        <v>12</v>
      </c>
      <c r="E271">
        <v>15340</v>
      </c>
      <c r="F271">
        <v>0.14000000000000001</v>
      </c>
    </row>
    <row r="272" spans="1:6" x14ac:dyDescent="0.45">
      <c r="A272" t="s">
        <v>164</v>
      </c>
      <c r="B272" t="s">
        <v>144</v>
      </c>
      <c r="C272">
        <v>28600</v>
      </c>
      <c r="D272" t="s">
        <v>13</v>
      </c>
      <c r="E272">
        <v>18590</v>
      </c>
      <c r="F272">
        <v>0.16</v>
      </c>
    </row>
    <row r="273" spans="1:6" x14ac:dyDescent="0.45">
      <c r="A273" t="s">
        <v>164</v>
      </c>
      <c r="B273" t="s">
        <v>144</v>
      </c>
      <c r="C273">
        <v>42600</v>
      </c>
      <c r="D273" t="s">
        <v>14</v>
      </c>
      <c r="E273">
        <v>27690</v>
      </c>
      <c r="F273">
        <v>0.18</v>
      </c>
    </row>
    <row r="274" spans="1:6" x14ac:dyDescent="0.45">
      <c r="A274" t="s">
        <v>164</v>
      </c>
      <c r="B274" t="s">
        <v>144</v>
      </c>
      <c r="C274">
        <v>95700</v>
      </c>
      <c r="D274" t="s">
        <v>15</v>
      </c>
      <c r="E274">
        <v>62210</v>
      </c>
      <c r="F274">
        <v>0.32</v>
      </c>
    </row>
    <row r="275" spans="1:6" x14ac:dyDescent="0.45">
      <c r="A275" t="s">
        <v>164</v>
      </c>
      <c r="B275" t="s">
        <v>144</v>
      </c>
      <c r="C275">
        <v>159000</v>
      </c>
      <c r="D275" t="s">
        <v>16</v>
      </c>
      <c r="E275">
        <v>103350</v>
      </c>
      <c r="F275">
        <v>0.39</v>
      </c>
    </row>
    <row r="276" spans="1:6" x14ac:dyDescent="0.45">
      <c r="A276" t="s">
        <v>164</v>
      </c>
      <c r="B276" t="s">
        <v>144</v>
      </c>
      <c r="C276">
        <v>220000</v>
      </c>
      <c r="D276" t="s">
        <v>17</v>
      </c>
      <c r="E276">
        <v>143000</v>
      </c>
      <c r="F276">
        <v>0.48</v>
      </c>
    </row>
    <row r="277" spans="1:6" x14ac:dyDescent="0.45">
      <c r="A277" t="s">
        <v>165</v>
      </c>
      <c r="B277" t="s">
        <v>144</v>
      </c>
      <c r="C277">
        <v>9920</v>
      </c>
      <c r="D277" t="s">
        <v>9</v>
      </c>
      <c r="E277">
        <v>6450</v>
      </c>
      <c r="F277">
        <v>0.08</v>
      </c>
    </row>
    <row r="278" spans="1:6" x14ac:dyDescent="0.45">
      <c r="A278" t="s">
        <v>165</v>
      </c>
      <c r="B278" t="s">
        <v>144</v>
      </c>
      <c r="C278">
        <v>11000</v>
      </c>
      <c r="D278" t="s">
        <v>10</v>
      </c>
      <c r="E278">
        <v>7150</v>
      </c>
      <c r="F278">
        <v>0.09</v>
      </c>
    </row>
    <row r="279" spans="1:6" x14ac:dyDescent="0.45">
      <c r="A279" t="s">
        <v>165</v>
      </c>
      <c r="B279" t="s">
        <v>144</v>
      </c>
      <c r="C279">
        <v>15600</v>
      </c>
      <c r="D279" t="s">
        <v>11</v>
      </c>
      <c r="E279">
        <v>10140</v>
      </c>
      <c r="F279">
        <v>0.12</v>
      </c>
    </row>
    <row r="280" spans="1:6" x14ac:dyDescent="0.45">
      <c r="A280" t="s">
        <v>165</v>
      </c>
      <c r="B280" t="s">
        <v>144</v>
      </c>
      <c r="C280">
        <v>23300</v>
      </c>
      <c r="D280" t="s">
        <v>12</v>
      </c>
      <c r="E280">
        <v>15150</v>
      </c>
      <c r="F280">
        <v>0.14000000000000001</v>
      </c>
    </row>
    <row r="281" spans="1:6" x14ac:dyDescent="0.45">
      <c r="A281" t="s">
        <v>165</v>
      </c>
      <c r="B281" t="s">
        <v>144</v>
      </c>
      <c r="C281">
        <v>29000</v>
      </c>
      <c r="D281" t="s">
        <v>13</v>
      </c>
      <c r="E281">
        <v>18850</v>
      </c>
      <c r="F281">
        <v>0.16</v>
      </c>
    </row>
    <row r="282" spans="1:6" x14ac:dyDescent="0.45">
      <c r="A282" t="s">
        <v>165</v>
      </c>
      <c r="B282" t="s">
        <v>144</v>
      </c>
      <c r="C282">
        <v>44400</v>
      </c>
      <c r="D282" t="s">
        <v>14</v>
      </c>
      <c r="E282">
        <v>28860</v>
      </c>
      <c r="F282">
        <v>0.18</v>
      </c>
    </row>
    <row r="283" spans="1:6" x14ac:dyDescent="0.45">
      <c r="A283" t="s">
        <v>165</v>
      </c>
      <c r="B283" t="s">
        <v>144</v>
      </c>
      <c r="C283">
        <v>87800</v>
      </c>
      <c r="D283" t="s">
        <v>15</v>
      </c>
      <c r="E283">
        <v>57070</v>
      </c>
      <c r="F283">
        <v>0.32</v>
      </c>
    </row>
    <row r="284" spans="1:6" x14ac:dyDescent="0.45">
      <c r="A284" t="s">
        <v>165</v>
      </c>
      <c r="B284" t="s">
        <v>144</v>
      </c>
      <c r="C284">
        <v>138000</v>
      </c>
      <c r="D284" t="s">
        <v>16</v>
      </c>
      <c r="E284">
        <v>89700</v>
      </c>
      <c r="F284">
        <v>0.39</v>
      </c>
    </row>
    <row r="285" spans="1:6" x14ac:dyDescent="0.45">
      <c r="A285" t="s">
        <v>166</v>
      </c>
      <c r="B285" t="s">
        <v>144</v>
      </c>
      <c r="C285">
        <v>3510</v>
      </c>
      <c r="D285" t="s">
        <v>9</v>
      </c>
      <c r="E285">
        <v>2280</v>
      </c>
      <c r="F285">
        <v>0.08</v>
      </c>
    </row>
    <row r="286" spans="1:6" x14ac:dyDescent="0.45">
      <c r="A286" t="s">
        <v>166</v>
      </c>
      <c r="B286" t="s">
        <v>144</v>
      </c>
      <c r="C286">
        <v>4000</v>
      </c>
      <c r="D286" t="s">
        <v>10</v>
      </c>
      <c r="E286">
        <v>2600</v>
      </c>
      <c r="F286">
        <v>0.09</v>
      </c>
    </row>
    <row r="287" spans="1:6" x14ac:dyDescent="0.45">
      <c r="A287" t="s">
        <v>167</v>
      </c>
      <c r="B287" t="s">
        <v>44</v>
      </c>
      <c r="C287">
        <v>4070</v>
      </c>
      <c r="D287" t="s">
        <v>168</v>
      </c>
      <c r="E287">
        <v>2650</v>
      </c>
      <c r="F287">
        <v>0.08</v>
      </c>
    </row>
    <row r="288" spans="1:6" x14ac:dyDescent="0.45">
      <c r="A288" t="s">
        <v>167</v>
      </c>
      <c r="B288" t="s">
        <v>44</v>
      </c>
      <c r="C288">
        <v>4760</v>
      </c>
      <c r="D288" t="s">
        <v>169</v>
      </c>
      <c r="E288">
        <v>3090</v>
      </c>
      <c r="F288">
        <v>0.09</v>
      </c>
    </row>
    <row r="289" spans="1:6" x14ac:dyDescent="0.45">
      <c r="A289" t="s">
        <v>167</v>
      </c>
      <c r="B289" t="s">
        <v>44</v>
      </c>
      <c r="C289">
        <v>6340</v>
      </c>
      <c r="D289" t="s">
        <v>170</v>
      </c>
      <c r="E289">
        <v>4120</v>
      </c>
      <c r="F289">
        <v>0.12</v>
      </c>
    </row>
    <row r="290" spans="1:6" x14ac:dyDescent="0.45">
      <c r="A290" t="s">
        <v>171</v>
      </c>
      <c r="B290" t="s">
        <v>144</v>
      </c>
      <c r="C290">
        <v>7710</v>
      </c>
      <c r="D290" t="s">
        <v>9</v>
      </c>
      <c r="E290">
        <v>5010</v>
      </c>
      <c r="F290">
        <v>0.08</v>
      </c>
    </row>
    <row r="291" spans="1:6" x14ac:dyDescent="0.45">
      <c r="A291" t="s">
        <v>171</v>
      </c>
      <c r="B291" t="s">
        <v>144</v>
      </c>
      <c r="C291">
        <v>9840</v>
      </c>
      <c r="D291" t="s">
        <v>10</v>
      </c>
      <c r="E291">
        <v>6400</v>
      </c>
      <c r="F291">
        <v>0.09</v>
      </c>
    </row>
    <row r="292" spans="1:6" x14ac:dyDescent="0.45">
      <c r="A292" t="s">
        <v>171</v>
      </c>
      <c r="B292" t="s">
        <v>144</v>
      </c>
      <c r="C292">
        <v>15800</v>
      </c>
      <c r="D292" t="s">
        <v>11</v>
      </c>
      <c r="E292">
        <v>10270</v>
      </c>
      <c r="F292">
        <v>0.12</v>
      </c>
    </row>
    <row r="293" spans="1:6" x14ac:dyDescent="0.45">
      <c r="A293" t="s">
        <v>171</v>
      </c>
      <c r="B293" t="s">
        <v>144</v>
      </c>
      <c r="C293">
        <v>22600</v>
      </c>
      <c r="D293" t="s">
        <v>12</v>
      </c>
      <c r="E293">
        <v>14690</v>
      </c>
      <c r="F293">
        <v>0.14000000000000001</v>
      </c>
    </row>
    <row r="294" spans="1:6" x14ac:dyDescent="0.45">
      <c r="A294" t="s">
        <v>171</v>
      </c>
      <c r="B294" t="s">
        <v>144</v>
      </c>
      <c r="C294">
        <v>27900</v>
      </c>
      <c r="D294" t="s">
        <v>13</v>
      </c>
      <c r="E294">
        <v>18140</v>
      </c>
      <c r="F294">
        <v>0.16</v>
      </c>
    </row>
    <row r="295" spans="1:6" x14ac:dyDescent="0.45">
      <c r="A295" t="s">
        <v>171</v>
      </c>
      <c r="B295" t="s">
        <v>144</v>
      </c>
      <c r="C295">
        <v>46500</v>
      </c>
      <c r="D295" t="s">
        <v>14</v>
      </c>
      <c r="E295">
        <v>30230</v>
      </c>
      <c r="F295">
        <v>0.18</v>
      </c>
    </row>
    <row r="296" spans="1:6" x14ac:dyDescent="0.45">
      <c r="A296" t="s">
        <v>171</v>
      </c>
      <c r="B296" t="s">
        <v>144</v>
      </c>
      <c r="C296">
        <v>115000</v>
      </c>
      <c r="D296" t="s">
        <v>15</v>
      </c>
      <c r="E296">
        <v>74750</v>
      </c>
      <c r="F296">
        <v>0.32</v>
      </c>
    </row>
    <row r="297" spans="1:6" x14ac:dyDescent="0.45">
      <c r="A297" t="s">
        <v>171</v>
      </c>
      <c r="B297" t="s">
        <v>144</v>
      </c>
      <c r="C297">
        <v>152000</v>
      </c>
      <c r="D297" t="s">
        <v>16</v>
      </c>
      <c r="E297">
        <v>98800</v>
      </c>
      <c r="F297">
        <v>0.39</v>
      </c>
    </row>
    <row r="298" spans="1:6" x14ac:dyDescent="0.45">
      <c r="A298" t="s">
        <v>171</v>
      </c>
      <c r="B298" t="s">
        <v>144</v>
      </c>
      <c r="C298">
        <v>49100</v>
      </c>
      <c r="D298" t="s">
        <v>128</v>
      </c>
      <c r="E298">
        <v>31920</v>
      </c>
      <c r="F298">
        <v>0.18</v>
      </c>
    </row>
    <row r="299" spans="1:6" x14ac:dyDescent="0.45">
      <c r="A299" t="s">
        <v>171</v>
      </c>
      <c r="B299" t="s">
        <v>144</v>
      </c>
      <c r="C299">
        <v>72900</v>
      </c>
      <c r="D299" t="s">
        <v>129</v>
      </c>
      <c r="E299">
        <v>47390</v>
      </c>
      <c r="F299">
        <v>0.32</v>
      </c>
    </row>
    <row r="300" spans="1:6" x14ac:dyDescent="0.45">
      <c r="A300" t="s">
        <v>171</v>
      </c>
      <c r="B300" t="s">
        <v>144</v>
      </c>
      <c r="C300">
        <v>90600</v>
      </c>
      <c r="D300" t="s">
        <v>130</v>
      </c>
      <c r="E300">
        <v>58890</v>
      </c>
      <c r="F300">
        <v>0.39</v>
      </c>
    </row>
    <row r="301" spans="1:6" x14ac:dyDescent="0.45">
      <c r="A301" t="s">
        <v>171</v>
      </c>
      <c r="B301" t="s">
        <v>144</v>
      </c>
      <c r="C301">
        <v>123000</v>
      </c>
      <c r="D301" t="s">
        <v>131</v>
      </c>
      <c r="E301">
        <v>79950</v>
      </c>
      <c r="F301">
        <v>0.48</v>
      </c>
    </row>
    <row r="302" spans="1:6" x14ac:dyDescent="0.45">
      <c r="A302" t="s">
        <v>171</v>
      </c>
      <c r="B302" t="s">
        <v>144</v>
      </c>
      <c r="C302">
        <v>194000</v>
      </c>
      <c r="D302" t="s">
        <v>132</v>
      </c>
      <c r="E302">
        <v>126100</v>
      </c>
      <c r="F302">
        <v>0.56999999999999995</v>
      </c>
    </row>
    <row r="303" spans="1:6" x14ac:dyDescent="0.45">
      <c r="A303" t="s">
        <v>171</v>
      </c>
      <c r="B303" t="s">
        <v>144</v>
      </c>
      <c r="C303">
        <v>250000</v>
      </c>
      <c r="D303" t="s">
        <v>133</v>
      </c>
      <c r="E303">
        <v>162500</v>
      </c>
      <c r="F303">
        <v>0.65</v>
      </c>
    </row>
    <row r="304" spans="1:6" x14ac:dyDescent="0.45">
      <c r="A304" t="s">
        <v>171</v>
      </c>
      <c r="B304" t="s">
        <v>144</v>
      </c>
      <c r="C304">
        <v>340000</v>
      </c>
      <c r="D304" t="s">
        <v>134</v>
      </c>
      <c r="E304">
        <v>221000</v>
      </c>
      <c r="F304">
        <v>0.95</v>
      </c>
    </row>
    <row r="305" spans="1:6" x14ac:dyDescent="0.45">
      <c r="A305" t="s">
        <v>171</v>
      </c>
      <c r="B305" t="s">
        <v>144</v>
      </c>
      <c r="C305">
        <v>658000</v>
      </c>
      <c r="D305" t="s">
        <v>172</v>
      </c>
      <c r="E305">
        <v>427700</v>
      </c>
      <c r="F305">
        <v>1.1299999999999999</v>
      </c>
    </row>
    <row r="306" spans="1:6" x14ac:dyDescent="0.45">
      <c r="A306" t="s">
        <v>171</v>
      </c>
      <c r="B306" t="s">
        <v>144</v>
      </c>
      <c r="C306">
        <v>899000</v>
      </c>
      <c r="D306" t="s">
        <v>173</v>
      </c>
      <c r="E306">
        <v>584350</v>
      </c>
      <c r="F306">
        <v>1.4</v>
      </c>
    </row>
    <row r="307" spans="1:6" x14ac:dyDescent="0.45">
      <c r="A307" t="s">
        <v>174</v>
      </c>
      <c r="B307" t="s">
        <v>127</v>
      </c>
      <c r="C307">
        <v>190000</v>
      </c>
      <c r="D307" t="s">
        <v>175</v>
      </c>
      <c r="E307">
        <v>123500</v>
      </c>
      <c r="F307">
        <v>0.09</v>
      </c>
    </row>
    <row r="308" spans="1:6" x14ac:dyDescent="0.45">
      <c r="A308" t="s">
        <v>174</v>
      </c>
      <c r="B308" t="s">
        <v>127</v>
      </c>
      <c r="C308">
        <v>191000</v>
      </c>
      <c r="D308" t="s">
        <v>176</v>
      </c>
      <c r="E308">
        <v>124150</v>
      </c>
      <c r="F308">
        <v>0.12</v>
      </c>
    </row>
    <row r="309" spans="1:6" x14ac:dyDescent="0.45">
      <c r="A309" t="s">
        <v>174</v>
      </c>
      <c r="B309" t="s">
        <v>127</v>
      </c>
      <c r="C309">
        <v>284000</v>
      </c>
      <c r="D309" t="s">
        <v>177</v>
      </c>
      <c r="E309">
        <v>184600</v>
      </c>
      <c r="F309">
        <v>0.14000000000000001</v>
      </c>
    </row>
    <row r="310" spans="1:6" x14ac:dyDescent="0.45">
      <c r="A310" t="s">
        <v>174</v>
      </c>
      <c r="B310" t="s">
        <v>127</v>
      </c>
      <c r="C310">
        <v>311000</v>
      </c>
      <c r="D310" t="s">
        <v>178</v>
      </c>
      <c r="E310">
        <v>202150</v>
      </c>
      <c r="F310">
        <v>0.16</v>
      </c>
    </row>
    <row r="311" spans="1:6" x14ac:dyDescent="0.45">
      <c r="A311" t="s">
        <v>174</v>
      </c>
      <c r="B311" t="s">
        <v>127</v>
      </c>
      <c r="C311">
        <v>359000</v>
      </c>
      <c r="D311" t="s">
        <v>128</v>
      </c>
      <c r="E311">
        <v>233350</v>
      </c>
      <c r="F311">
        <v>0.18</v>
      </c>
    </row>
    <row r="312" spans="1:6" x14ac:dyDescent="0.45">
      <c r="A312" t="s">
        <v>179</v>
      </c>
      <c r="B312" t="s">
        <v>180</v>
      </c>
      <c r="C312">
        <v>29600</v>
      </c>
      <c r="D312" t="s">
        <v>9</v>
      </c>
      <c r="E312">
        <v>19240</v>
      </c>
      <c r="F312">
        <v>0.08</v>
      </c>
    </row>
    <row r="313" spans="1:6" x14ac:dyDescent="0.45">
      <c r="A313" t="s">
        <v>179</v>
      </c>
      <c r="B313" t="s">
        <v>180</v>
      </c>
      <c r="C313">
        <v>31900</v>
      </c>
      <c r="D313" t="s">
        <v>10</v>
      </c>
      <c r="E313">
        <v>20740</v>
      </c>
      <c r="F313">
        <v>0.09</v>
      </c>
    </row>
    <row r="314" spans="1:6" x14ac:dyDescent="0.45">
      <c r="A314" t="s">
        <v>179</v>
      </c>
      <c r="B314" t="s">
        <v>180</v>
      </c>
      <c r="C314">
        <v>42600</v>
      </c>
      <c r="D314" t="s">
        <v>11</v>
      </c>
      <c r="E314">
        <v>27690</v>
      </c>
      <c r="F314">
        <v>0.12</v>
      </c>
    </row>
    <row r="315" spans="1:6" x14ac:dyDescent="0.45">
      <c r="A315" t="s">
        <v>179</v>
      </c>
      <c r="B315" t="s">
        <v>180</v>
      </c>
      <c r="C315">
        <v>62500</v>
      </c>
      <c r="D315" t="s">
        <v>12</v>
      </c>
      <c r="E315">
        <v>40630</v>
      </c>
      <c r="F315">
        <v>0.14000000000000001</v>
      </c>
    </row>
    <row r="316" spans="1:6" x14ac:dyDescent="0.45">
      <c r="A316" t="s">
        <v>179</v>
      </c>
      <c r="B316" t="s">
        <v>180</v>
      </c>
      <c r="C316">
        <v>79700</v>
      </c>
      <c r="D316" t="s">
        <v>13</v>
      </c>
      <c r="E316">
        <v>51810</v>
      </c>
      <c r="F316">
        <v>0.16</v>
      </c>
    </row>
    <row r="317" spans="1:6" x14ac:dyDescent="0.45">
      <c r="A317" t="s">
        <v>179</v>
      </c>
      <c r="B317" t="s">
        <v>180</v>
      </c>
      <c r="C317">
        <v>92400</v>
      </c>
      <c r="D317" t="s">
        <v>14</v>
      </c>
      <c r="E317">
        <v>60060</v>
      </c>
      <c r="F317">
        <v>0.18</v>
      </c>
    </row>
    <row r="318" spans="1:6" x14ac:dyDescent="0.45">
      <c r="A318" t="s">
        <v>181</v>
      </c>
      <c r="B318" t="s">
        <v>180</v>
      </c>
      <c r="C318">
        <v>34400</v>
      </c>
      <c r="D318" t="s">
        <v>9</v>
      </c>
      <c r="E318">
        <v>22360</v>
      </c>
      <c r="F318">
        <v>0.08</v>
      </c>
    </row>
    <row r="319" spans="1:6" x14ac:dyDescent="0.45">
      <c r="A319" t="s">
        <v>181</v>
      </c>
      <c r="B319" t="s">
        <v>180</v>
      </c>
      <c r="C319">
        <v>36700</v>
      </c>
      <c r="D319" t="s">
        <v>10</v>
      </c>
      <c r="E319">
        <v>23860</v>
      </c>
      <c r="F319">
        <v>0.09</v>
      </c>
    </row>
    <row r="320" spans="1:6" x14ac:dyDescent="0.45">
      <c r="A320" t="s">
        <v>181</v>
      </c>
      <c r="B320" t="s">
        <v>180</v>
      </c>
      <c r="C320">
        <v>50800</v>
      </c>
      <c r="D320" t="s">
        <v>11</v>
      </c>
      <c r="E320">
        <v>33020</v>
      </c>
      <c r="F320">
        <v>0.12</v>
      </c>
    </row>
    <row r="321" spans="1:6" x14ac:dyDescent="0.45">
      <c r="A321" t="s">
        <v>181</v>
      </c>
      <c r="B321" t="s">
        <v>180</v>
      </c>
      <c r="C321">
        <v>68300</v>
      </c>
      <c r="D321" t="s">
        <v>12</v>
      </c>
      <c r="E321">
        <v>44400</v>
      </c>
      <c r="F321">
        <v>0.14000000000000001</v>
      </c>
    </row>
    <row r="322" spans="1:6" x14ac:dyDescent="0.45">
      <c r="A322" t="s">
        <v>181</v>
      </c>
      <c r="B322" t="s">
        <v>180</v>
      </c>
      <c r="C322">
        <v>88000</v>
      </c>
      <c r="D322" t="s">
        <v>13</v>
      </c>
      <c r="E322">
        <v>57200</v>
      </c>
      <c r="F322">
        <v>0.16</v>
      </c>
    </row>
    <row r="323" spans="1:6" x14ac:dyDescent="0.45">
      <c r="A323" t="s">
        <v>181</v>
      </c>
      <c r="B323" t="s">
        <v>180</v>
      </c>
      <c r="C323">
        <v>101000</v>
      </c>
      <c r="D323" t="s">
        <v>14</v>
      </c>
      <c r="E323">
        <v>65650</v>
      </c>
      <c r="F323">
        <v>0.18</v>
      </c>
    </row>
    <row r="324" spans="1:6" x14ac:dyDescent="0.45">
      <c r="A324" t="s">
        <v>182</v>
      </c>
      <c r="B324" t="s">
        <v>44</v>
      </c>
      <c r="C324">
        <v>150000</v>
      </c>
      <c r="D324" t="s">
        <v>161</v>
      </c>
      <c r="E324">
        <v>97500</v>
      </c>
      <c r="F324">
        <v>0.18</v>
      </c>
    </row>
    <row r="325" spans="1:6" x14ac:dyDescent="0.45">
      <c r="A325" t="s">
        <v>182</v>
      </c>
      <c r="B325" t="s">
        <v>44</v>
      </c>
      <c r="C325">
        <v>151000</v>
      </c>
      <c r="D325" t="s">
        <v>152</v>
      </c>
      <c r="E325">
        <v>98150</v>
      </c>
      <c r="F325">
        <v>0.32</v>
      </c>
    </row>
    <row r="326" spans="1:6" x14ac:dyDescent="0.45">
      <c r="A326" t="s">
        <v>182</v>
      </c>
      <c r="B326" t="s">
        <v>44</v>
      </c>
      <c r="C326">
        <v>153000</v>
      </c>
      <c r="D326" t="s">
        <v>153</v>
      </c>
      <c r="E326">
        <v>99450</v>
      </c>
      <c r="F326">
        <v>0.39</v>
      </c>
    </row>
    <row r="327" spans="1:6" x14ac:dyDescent="0.45">
      <c r="A327" t="s">
        <v>182</v>
      </c>
      <c r="B327" t="s">
        <v>44</v>
      </c>
      <c r="C327">
        <v>159000</v>
      </c>
      <c r="D327" t="s">
        <v>154</v>
      </c>
      <c r="E327">
        <v>103350</v>
      </c>
      <c r="F327">
        <v>0.48</v>
      </c>
    </row>
    <row r="328" spans="1:6" x14ac:dyDescent="0.45">
      <c r="A328" t="s">
        <v>182</v>
      </c>
      <c r="B328" t="s">
        <v>44</v>
      </c>
      <c r="C328">
        <v>241000</v>
      </c>
      <c r="D328" t="s">
        <v>155</v>
      </c>
      <c r="E328">
        <v>156650</v>
      </c>
      <c r="F328">
        <v>0.56999999999999995</v>
      </c>
    </row>
    <row r="329" spans="1:6" x14ac:dyDescent="0.45">
      <c r="A329" t="s">
        <v>182</v>
      </c>
      <c r="B329" t="s">
        <v>44</v>
      </c>
      <c r="C329">
        <v>251000</v>
      </c>
      <c r="D329" t="s">
        <v>156</v>
      </c>
      <c r="E329">
        <v>163150</v>
      </c>
      <c r="F329">
        <v>0.65</v>
      </c>
    </row>
    <row r="330" spans="1:6" x14ac:dyDescent="0.45">
      <c r="A330" t="s">
        <v>182</v>
      </c>
      <c r="B330" t="s">
        <v>44</v>
      </c>
      <c r="C330">
        <v>312000</v>
      </c>
      <c r="D330" t="s">
        <v>157</v>
      </c>
      <c r="E330">
        <v>202800</v>
      </c>
      <c r="F330">
        <v>0.95</v>
      </c>
    </row>
    <row r="331" spans="1:6" x14ac:dyDescent="0.45">
      <c r="A331" t="s">
        <v>183</v>
      </c>
      <c r="B331" t="s">
        <v>184</v>
      </c>
      <c r="C331">
        <v>298800</v>
      </c>
      <c r="D331" t="s">
        <v>13</v>
      </c>
      <c r="E331">
        <v>224100</v>
      </c>
      <c r="F331">
        <v>0.83</v>
      </c>
    </row>
    <row r="332" spans="1:6" x14ac:dyDescent="0.45">
      <c r="A332" t="s">
        <v>185</v>
      </c>
      <c r="B332" t="s">
        <v>184</v>
      </c>
      <c r="C332">
        <v>307200</v>
      </c>
      <c r="D332" t="s">
        <v>14</v>
      </c>
      <c r="E332">
        <v>230400</v>
      </c>
      <c r="F332">
        <v>0.95</v>
      </c>
    </row>
    <row r="333" spans="1:6" x14ac:dyDescent="0.45">
      <c r="A333" t="s">
        <v>185</v>
      </c>
      <c r="B333" t="s">
        <v>184</v>
      </c>
      <c r="C333">
        <v>426320</v>
      </c>
      <c r="D333" t="s">
        <v>15</v>
      </c>
      <c r="E333">
        <v>319740</v>
      </c>
      <c r="F333">
        <v>1.04</v>
      </c>
    </row>
    <row r="334" spans="1:6" x14ac:dyDescent="0.45">
      <c r="A334" t="s">
        <v>185</v>
      </c>
      <c r="B334" t="s">
        <v>184</v>
      </c>
      <c r="C334">
        <v>493190</v>
      </c>
      <c r="D334" t="s">
        <v>16</v>
      </c>
      <c r="E334">
        <v>369890</v>
      </c>
      <c r="F334">
        <v>1.1200000000000001</v>
      </c>
    </row>
    <row r="335" spans="1:6" x14ac:dyDescent="0.45">
      <c r="A335" t="s">
        <v>185</v>
      </c>
      <c r="B335" t="s">
        <v>184</v>
      </c>
      <c r="C335">
        <v>618580</v>
      </c>
      <c r="D335" t="s">
        <v>17</v>
      </c>
      <c r="E335">
        <v>463940</v>
      </c>
      <c r="F335">
        <v>1.21</v>
      </c>
    </row>
    <row r="336" spans="1:6" x14ac:dyDescent="0.45">
      <c r="A336" t="s">
        <v>185</v>
      </c>
      <c r="B336" t="s">
        <v>184</v>
      </c>
      <c r="C336">
        <v>891300</v>
      </c>
      <c r="D336" t="s">
        <v>19</v>
      </c>
      <c r="E336">
        <v>668480</v>
      </c>
      <c r="F336">
        <v>1.3</v>
      </c>
    </row>
    <row r="337" spans="1:6" x14ac:dyDescent="0.45">
      <c r="A337" t="s">
        <v>185</v>
      </c>
      <c r="B337" t="s">
        <v>184</v>
      </c>
      <c r="C337">
        <v>1122220</v>
      </c>
      <c r="D337" t="s">
        <v>20</v>
      </c>
      <c r="E337">
        <v>841670</v>
      </c>
      <c r="F337">
        <v>1.4</v>
      </c>
    </row>
    <row r="338" spans="1:6" x14ac:dyDescent="0.45">
      <c r="A338" t="s">
        <v>186</v>
      </c>
      <c r="B338" t="s">
        <v>187</v>
      </c>
      <c r="C338">
        <v>3800</v>
      </c>
      <c r="D338" t="s">
        <v>188</v>
      </c>
      <c r="E338">
        <v>1750</v>
      </c>
      <c r="F338">
        <v>0.12</v>
      </c>
    </row>
    <row r="339" spans="1:6" x14ac:dyDescent="0.45">
      <c r="A339" t="s">
        <v>186</v>
      </c>
      <c r="B339" t="s">
        <v>187</v>
      </c>
      <c r="C339">
        <v>4800</v>
      </c>
      <c r="D339" t="s">
        <v>189</v>
      </c>
      <c r="E339">
        <v>2210</v>
      </c>
      <c r="F339">
        <v>0.12</v>
      </c>
    </row>
    <row r="340" spans="1:6" x14ac:dyDescent="0.45">
      <c r="A340" t="s">
        <v>186</v>
      </c>
      <c r="B340" t="s">
        <v>187</v>
      </c>
      <c r="C340">
        <v>5900</v>
      </c>
      <c r="D340" t="s">
        <v>190</v>
      </c>
      <c r="E340">
        <v>2710</v>
      </c>
      <c r="F340">
        <v>0.14000000000000001</v>
      </c>
    </row>
    <row r="341" spans="1:6" x14ac:dyDescent="0.45">
      <c r="A341" t="s">
        <v>186</v>
      </c>
      <c r="B341" t="s">
        <v>187</v>
      </c>
      <c r="C341">
        <v>8300</v>
      </c>
      <c r="D341" t="s">
        <v>191</v>
      </c>
      <c r="E341">
        <v>3820</v>
      </c>
      <c r="F341">
        <v>0.16</v>
      </c>
    </row>
    <row r="342" spans="1:6" x14ac:dyDescent="0.45">
      <c r="A342" t="s">
        <v>186</v>
      </c>
      <c r="B342" t="s">
        <v>187</v>
      </c>
      <c r="C342">
        <v>10400</v>
      </c>
      <c r="D342" t="s">
        <v>192</v>
      </c>
      <c r="E342">
        <v>4780</v>
      </c>
      <c r="F342">
        <v>0.18</v>
      </c>
    </row>
    <row r="343" spans="1:6" x14ac:dyDescent="0.45">
      <c r="A343" t="s">
        <v>186</v>
      </c>
      <c r="B343" t="s">
        <v>187</v>
      </c>
      <c r="C343">
        <v>13800</v>
      </c>
      <c r="D343" t="s">
        <v>193</v>
      </c>
      <c r="E343">
        <v>6350</v>
      </c>
      <c r="F343">
        <v>0.22</v>
      </c>
    </row>
    <row r="344" spans="1:6" x14ac:dyDescent="0.45">
      <c r="A344" t="s">
        <v>194</v>
      </c>
      <c r="B344" t="s">
        <v>187</v>
      </c>
      <c r="C344">
        <v>24900</v>
      </c>
      <c r="D344" t="s">
        <v>195</v>
      </c>
      <c r="E344">
        <v>6470</v>
      </c>
      <c r="F344">
        <v>0.37</v>
      </c>
    </row>
    <row r="345" spans="1:6" x14ac:dyDescent="0.45">
      <c r="A345" t="s">
        <v>194</v>
      </c>
      <c r="B345" t="s">
        <v>187</v>
      </c>
      <c r="C345">
        <v>26500</v>
      </c>
      <c r="D345" t="s">
        <v>196</v>
      </c>
      <c r="E345">
        <v>6890</v>
      </c>
      <c r="F345">
        <v>0.44</v>
      </c>
    </row>
    <row r="346" spans="1:6" x14ac:dyDescent="0.45">
      <c r="A346" t="s">
        <v>194</v>
      </c>
      <c r="B346" t="s">
        <v>187</v>
      </c>
      <c r="C346">
        <v>32900</v>
      </c>
      <c r="D346" t="s">
        <v>197</v>
      </c>
      <c r="E346">
        <v>8550</v>
      </c>
      <c r="F346">
        <v>0.54</v>
      </c>
    </row>
    <row r="347" spans="1:6" x14ac:dyDescent="0.45">
      <c r="A347" t="s">
        <v>194</v>
      </c>
      <c r="B347" t="s">
        <v>187</v>
      </c>
      <c r="C347">
        <v>49800</v>
      </c>
      <c r="D347" t="s">
        <v>198</v>
      </c>
      <c r="E347">
        <v>12950</v>
      </c>
      <c r="F347">
        <v>0.56999999999999995</v>
      </c>
    </row>
    <row r="348" spans="1:6" x14ac:dyDescent="0.45">
      <c r="A348" t="s">
        <v>194</v>
      </c>
      <c r="B348" t="s">
        <v>187</v>
      </c>
      <c r="C348">
        <v>65000</v>
      </c>
      <c r="D348" t="s">
        <v>199</v>
      </c>
      <c r="E348">
        <v>16900</v>
      </c>
      <c r="F348">
        <v>0.65</v>
      </c>
    </row>
    <row r="349" spans="1:6" x14ac:dyDescent="0.45">
      <c r="A349" t="s">
        <v>194</v>
      </c>
      <c r="B349" t="s">
        <v>187</v>
      </c>
      <c r="C349">
        <v>124200</v>
      </c>
      <c r="D349" t="s">
        <v>200</v>
      </c>
      <c r="E349">
        <v>32290</v>
      </c>
      <c r="F349">
        <v>0.95</v>
      </c>
    </row>
    <row r="350" spans="1:6" x14ac:dyDescent="0.45">
      <c r="A350" t="s">
        <v>186</v>
      </c>
      <c r="B350" t="s">
        <v>187</v>
      </c>
      <c r="C350">
        <v>4700</v>
      </c>
      <c r="D350" t="s">
        <v>201</v>
      </c>
      <c r="E350">
        <v>2160</v>
      </c>
      <c r="F350">
        <v>0.12</v>
      </c>
    </row>
    <row r="351" spans="1:6" x14ac:dyDescent="0.45">
      <c r="A351" t="s">
        <v>186</v>
      </c>
      <c r="B351" t="s">
        <v>187</v>
      </c>
      <c r="C351">
        <v>6100</v>
      </c>
      <c r="D351" t="s">
        <v>202</v>
      </c>
      <c r="E351">
        <v>2810</v>
      </c>
      <c r="F351">
        <v>0.12</v>
      </c>
    </row>
    <row r="352" spans="1:6" x14ac:dyDescent="0.45">
      <c r="A352" t="s">
        <v>186</v>
      </c>
      <c r="B352" t="s">
        <v>187</v>
      </c>
      <c r="C352">
        <v>7800</v>
      </c>
      <c r="D352" t="s">
        <v>203</v>
      </c>
      <c r="E352">
        <v>3590</v>
      </c>
      <c r="F352">
        <v>0.14000000000000001</v>
      </c>
    </row>
    <row r="353" spans="1:6" x14ac:dyDescent="0.45">
      <c r="A353" t="s">
        <v>186</v>
      </c>
      <c r="B353" t="s">
        <v>187</v>
      </c>
      <c r="C353">
        <v>10000</v>
      </c>
      <c r="D353" t="s">
        <v>204</v>
      </c>
      <c r="E353">
        <v>4600</v>
      </c>
      <c r="F353">
        <v>0.16</v>
      </c>
    </row>
    <row r="354" spans="1:6" x14ac:dyDescent="0.45">
      <c r="A354" t="s">
        <v>194</v>
      </c>
      <c r="B354" t="s">
        <v>187</v>
      </c>
      <c r="C354">
        <v>18000</v>
      </c>
      <c r="D354" t="s">
        <v>205</v>
      </c>
      <c r="E354">
        <v>4680</v>
      </c>
      <c r="F354">
        <v>0.18</v>
      </c>
    </row>
    <row r="355" spans="1:6" x14ac:dyDescent="0.45">
      <c r="A355" t="s">
        <v>194</v>
      </c>
      <c r="B355" t="s">
        <v>187</v>
      </c>
      <c r="C355">
        <v>23400</v>
      </c>
      <c r="D355" t="s">
        <v>206</v>
      </c>
      <c r="E355">
        <v>6080</v>
      </c>
      <c r="F355">
        <v>0.22</v>
      </c>
    </row>
    <row r="356" spans="1:6" x14ac:dyDescent="0.45">
      <c r="A356" t="s">
        <v>194</v>
      </c>
      <c r="B356" t="s">
        <v>187</v>
      </c>
      <c r="C356">
        <v>29700</v>
      </c>
      <c r="D356" t="s">
        <v>207</v>
      </c>
      <c r="E356">
        <v>7720</v>
      </c>
      <c r="F356">
        <v>0.37</v>
      </c>
    </row>
    <row r="357" spans="1:6" x14ac:dyDescent="0.45">
      <c r="A357" t="s">
        <v>194</v>
      </c>
      <c r="B357" t="s">
        <v>187</v>
      </c>
      <c r="C357">
        <v>31600</v>
      </c>
      <c r="D357" t="s">
        <v>208</v>
      </c>
      <c r="E357">
        <v>8220</v>
      </c>
      <c r="F357">
        <v>0.44</v>
      </c>
    </row>
    <row r="358" spans="1:6" x14ac:dyDescent="0.45">
      <c r="A358" t="s">
        <v>194</v>
      </c>
      <c r="B358" t="s">
        <v>187</v>
      </c>
      <c r="C358">
        <v>39000</v>
      </c>
      <c r="D358" t="s">
        <v>209</v>
      </c>
      <c r="E358">
        <v>10140</v>
      </c>
      <c r="F358">
        <v>0.54</v>
      </c>
    </row>
    <row r="359" spans="1:6" x14ac:dyDescent="0.45">
      <c r="A359" t="s">
        <v>194</v>
      </c>
      <c r="B359" t="s">
        <v>187</v>
      </c>
      <c r="C359">
        <v>61100</v>
      </c>
      <c r="D359" t="s">
        <v>210</v>
      </c>
      <c r="E359">
        <v>15890</v>
      </c>
      <c r="F359">
        <v>0.56999999999999995</v>
      </c>
    </row>
    <row r="360" spans="1:6" x14ac:dyDescent="0.45">
      <c r="A360" t="s">
        <v>194</v>
      </c>
      <c r="B360" t="s">
        <v>187</v>
      </c>
      <c r="C360">
        <v>79500</v>
      </c>
      <c r="D360" t="s">
        <v>211</v>
      </c>
      <c r="E360">
        <v>20670</v>
      </c>
      <c r="F360">
        <v>0.65</v>
      </c>
    </row>
    <row r="361" spans="1:6" x14ac:dyDescent="0.45">
      <c r="A361" t="s">
        <v>194</v>
      </c>
      <c r="B361" t="s">
        <v>187</v>
      </c>
      <c r="C361">
        <v>159000</v>
      </c>
      <c r="D361" t="s">
        <v>212</v>
      </c>
      <c r="E361">
        <v>41340</v>
      </c>
      <c r="F361">
        <v>0.95</v>
      </c>
    </row>
    <row r="362" spans="1:6" x14ac:dyDescent="0.45">
      <c r="A362" t="s">
        <v>186</v>
      </c>
      <c r="B362" t="s">
        <v>187</v>
      </c>
      <c r="C362">
        <v>13200</v>
      </c>
      <c r="D362" t="s">
        <v>213</v>
      </c>
      <c r="E362">
        <v>6070</v>
      </c>
      <c r="F362">
        <v>0.16</v>
      </c>
    </row>
    <row r="363" spans="1:6" x14ac:dyDescent="0.45">
      <c r="A363" t="s">
        <v>194</v>
      </c>
      <c r="B363" t="s">
        <v>187</v>
      </c>
      <c r="C363">
        <v>25700</v>
      </c>
      <c r="D363" t="s">
        <v>214</v>
      </c>
      <c r="E363">
        <v>6680</v>
      </c>
      <c r="F363">
        <v>0.18</v>
      </c>
    </row>
    <row r="364" spans="1:6" x14ac:dyDescent="0.45">
      <c r="A364" t="s">
        <v>194</v>
      </c>
      <c r="B364" t="s">
        <v>187</v>
      </c>
      <c r="C364">
        <v>30800</v>
      </c>
      <c r="D364" t="s">
        <v>215</v>
      </c>
      <c r="E364">
        <v>8010</v>
      </c>
      <c r="F364">
        <v>0.22</v>
      </c>
    </row>
    <row r="365" spans="1:6" x14ac:dyDescent="0.45">
      <c r="A365" t="s">
        <v>194</v>
      </c>
      <c r="B365" t="s">
        <v>187</v>
      </c>
      <c r="C365">
        <v>37400</v>
      </c>
      <c r="D365" t="s">
        <v>216</v>
      </c>
      <c r="E365">
        <v>9720</v>
      </c>
      <c r="F365">
        <v>0.37</v>
      </c>
    </row>
    <row r="366" spans="1:6" x14ac:dyDescent="0.45">
      <c r="A366" t="s">
        <v>194</v>
      </c>
      <c r="B366" t="s">
        <v>187</v>
      </c>
      <c r="C366">
        <v>39500</v>
      </c>
      <c r="D366" t="s">
        <v>217</v>
      </c>
      <c r="E366">
        <v>10270</v>
      </c>
      <c r="F366">
        <v>0.44</v>
      </c>
    </row>
    <row r="367" spans="1:6" x14ac:dyDescent="0.45">
      <c r="A367" t="s">
        <v>194</v>
      </c>
      <c r="B367" t="s">
        <v>187</v>
      </c>
      <c r="C367">
        <v>48500</v>
      </c>
      <c r="D367" t="s">
        <v>218</v>
      </c>
      <c r="E367">
        <v>12610</v>
      </c>
      <c r="F367">
        <v>0.54</v>
      </c>
    </row>
    <row r="368" spans="1:6" x14ac:dyDescent="0.45">
      <c r="A368" t="s">
        <v>194</v>
      </c>
      <c r="B368" t="s">
        <v>187</v>
      </c>
      <c r="C368">
        <v>78100</v>
      </c>
      <c r="D368" t="s">
        <v>219</v>
      </c>
      <c r="E368">
        <v>20310</v>
      </c>
      <c r="F368">
        <v>0.56999999999999995</v>
      </c>
    </row>
    <row r="369" spans="1:6" x14ac:dyDescent="0.45">
      <c r="A369" t="s">
        <v>194</v>
      </c>
      <c r="B369" t="s">
        <v>187</v>
      </c>
      <c r="C369">
        <v>100600</v>
      </c>
      <c r="D369" t="s">
        <v>220</v>
      </c>
      <c r="E369">
        <v>26160</v>
      </c>
      <c r="F369">
        <v>0.65</v>
      </c>
    </row>
    <row r="370" spans="1:6" x14ac:dyDescent="0.45">
      <c r="A370" t="s">
        <v>194</v>
      </c>
      <c r="B370" t="s">
        <v>187</v>
      </c>
      <c r="C370">
        <v>205000</v>
      </c>
      <c r="D370" t="s">
        <v>221</v>
      </c>
      <c r="E370">
        <v>53300</v>
      </c>
      <c r="F370">
        <v>0.95</v>
      </c>
    </row>
    <row r="371" spans="1:6" x14ac:dyDescent="0.45">
      <c r="A371" t="s">
        <v>222</v>
      </c>
      <c r="B371" t="s">
        <v>44</v>
      </c>
      <c r="C371">
        <v>14000</v>
      </c>
      <c r="D371" t="s">
        <v>223</v>
      </c>
      <c r="E371">
        <v>8400</v>
      </c>
      <c r="F371">
        <v>0.16</v>
      </c>
    </row>
    <row r="372" spans="1:6" x14ac:dyDescent="0.45">
      <c r="A372" t="s">
        <v>222</v>
      </c>
      <c r="B372" t="s">
        <v>44</v>
      </c>
      <c r="C372">
        <v>15000</v>
      </c>
      <c r="D372" t="s">
        <v>224</v>
      </c>
      <c r="E372">
        <v>9000</v>
      </c>
      <c r="F372">
        <v>0.18</v>
      </c>
    </row>
    <row r="373" spans="1:6" x14ac:dyDescent="0.45">
      <c r="A373" t="s">
        <v>222</v>
      </c>
      <c r="B373" t="s">
        <v>44</v>
      </c>
      <c r="C373">
        <v>17000</v>
      </c>
      <c r="D373" t="s">
        <v>225</v>
      </c>
      <c r="E373">
        <v>10200</v>
      </c>
      <c r="F373">
        <v>0.22</v>
      </c>
    </row>
    <row r="374" spans="1:6" x14ac:dyDescent="0.45">
      <c r="A374" t="s">
        <v>222</v>
      </c>
      <c r="B374" t="s">
        <v>44</v>
      </c>
      <c r="C374">
        <v>21000</v>
      </c>
      <c r="D374" t="s">
        <v>226</v>
      </c>
      <c r="E374">
        <v>12600</v>
      </c>
      <c r="F374">
        <v>0.37</v>
      </c>
    </row>
    <row r="375" spans="1:6" x14ac:dyDescent="0.45">
      <c r="A375" t="s">
        <v>222</v>
      </c>
      <c r="B375" t="s">
        <v>44</v>
      </c>
      <c r="C375">
        <v>23000</v>
      </c>
      <c r="D375" t="s">
        <v>227</v>
      </c>
      <c r="E375">
        <v>13800</v>
      </c>
      <c r="F375">
        <v>0.44</v>
      </c>
    </row>
    <row r="376" spans="1:6" x14ac:dyDescent="0.45">
      <c r="A376" t="s">
        <v>222</v>
      </c>
      <c r="B376" t="s">
        <v>44</v>
      </c>
      <c r="C376">
        <v>27000</v>
      </c>
      <c r="D376" t="s">
        <v>228</v>
      </c>
      <c r="E376">
        <v>16200</v>
      </c>
      <c r="F376">
        <v>0.54</v>
      </c>
    </row>
    <row r="377" spans="1:6" x14ac:dyDescent="0.45">
      <c r="A377" t="s">
        <v>222</v>
      </c>
      <c r="B377" t="s">
        <v>44</v>
      </c>
      <c r="C377">
        <v>40000</v>
      </c>
      <c r="D377" t="s">
        <v>229</v>
      </c>
      <c r="E377">
        <v>24000</v>
      </c>
      <c r="F377">
        <v>0.56999999999999995</v>
      </c>
    </row>
    <row r="378" spans="1:6" x14ac:dyDescent="0.45">
      <c r="A378" t="s">
        <v>222</v>
      </c>
      <c r="B378" t="s">
        <v>44</v>
      </c>
      <c r="C378">
        <v>50000</v>
      </c>
      <c r="D378" t="s">
        <v>230</v>
      </c>
      <c r="E378">
        <v>30000</v>
      </c>
      <c r="F378">
        <v>0.65</v>
      </c>
    </row>
    <row r="379" spans="1:6" x14ac:dyDescent="0.45">
      <c r="A379" t="s">
        <v>222</v>
      </c>
      <c r="B379" t="s">
        <v>44</v>
      </c>
      <c r="C379">
        <v>65000</v>
      </c>
      <c r="D379" t="s">
        <v>231</v>
      </c>
      <c r="E379">
        <v>39000</v>
      </c>
      <c r="F379">
        <v>0.95</v>
      </c>
    </row>
    <row r="380" spans="1:6" x14ac:dyDescent="0.45">
      <c r="A380" t="s">
        <v>222</v>
      </c>
      <c r="B380" t="s">
        <v>44</v>
      </c>
      <c r="C380">
        <v>97000</v>
      </c>
      <c r="D380" t="s">
        <v>232</v>
      </c>
      <c r="E380">
        <v>58200</v>
      </c>
      <c r="F380">
        <v>1.1299999999999999</v>
      </c>
    </row>
    <row r="381" spans="1:6" x14ac:dyDescent="0.45">
      <c r="A381" t="s">
        <v>233</v>
      </c>
      <c r="B381" t="s">
        <v>144</v>
      </c>
      <c r="C381">
        <v>79600</v>
      </c>
      <c r="D381" t="s">
        <v>234</v>
      </c>
      <c r="E381">
        <v>43780</v>
      </c>
      <c r="F381">
        <v>0.62</v>
      </c>
    </row>
    <row r="382" spans="1:6" x14ac:dyDescent="0.45">
      <c r="A382" t="s">
        <v>233</v>
      </c>
      <c r="B382" t="s">
        <v>144</v>
      </c>
      <c r="C382">
        <v>82600</v>
      </c>
      <c r="D382" t="s">
        <v>235</v>
      </c>
      <c r="E382">
        <v>45430.000000000007</v>
      </c>
      <c r="F382">
        <v>0.84</v>
      </c>
    </row>
    <row r="383" spans="1:6" x14ac:dyDescent="0.45">
      <c r="A383" t="s">
        <v>233</v>
      </c>
      <c r="B383" t="s">
        <v>144</v>
      </c>
      <c r="C383">
        <v>93600</v>
      </c>
      <c r="D383" t="s">
        <v>236</v>
      </c>
      <c r="E383">
        <v>51480.000000000007</v>
      </c>
      <c r="F383">
        <v>0.86</v>
      </c>
    </row>
    <row r="384" spans="1:6" x14ac:dyDescent="0.45">
      <c r="A384" t="s">
        <v>233</v>
      </c>
      <c r="B384" t="s">
        <v>144</v>
      </c>
      <c r="C384">
        <v>107000</v>
      </c>
      <c r="D384" t="s">
        <v>237</v>
      </c>
      <c r="E384">
        <v>58850.000000000007</v>
      </c>
      <c r="F384">
        <v>0.88</v>
      </c>
    </row>
    <row r="385" spans="1:6" x14ac:dyDescent="0.45">
      <c r="A385" t="s">
        <v>233</v>
      </c>
      <c r="B385" t="s">
        <v>144</v>
      </c>
      <c r="C385">
        <v>121000</v>
      </c>
      <c r="D385" t="s">
        <v>238</v>
      </c>
      <c r="E385">
        <v>66550</v>
      </c>
      <c r="F385">
        <v>1.1200000000000001</v>
      </c>
    </row>
    <row r="386" spans="1:6" x14ac:dyDescent="0.45">
      <c r="A386" t="s">
        <v>233</v>
      </c>
      <c r="B386" t="s">
        <v>144</v>
      </c>
      <c r="C386">
        <v>146000</v>
      </c>
      <c r="D386" t="s">
        <v>239</v>
      </c>
      <c r="E386">
        <v>80300</v>
      </c>
      <c r="F386">
        <v>1.5</v>
      </c>
    </row>
    <row r="387" spans="1:6" x14ac:dyDescent="0.45">
      <c r="A387" t="s">
        <v>233</v>
      </c>
      <c r="B387" t="s">
        <v>144</v>
      </c>
      <c r="C387">
        <v>184000</v>
      </c>
      <c r="D387" t="s">
        <v>240</v>
      </c>
      <c r="E387">
        <v>101200.00000000001</v>
      </c>
      <c r="F387">
        <v>1.7</v>
      </c>
    </row>
    <row r="388" spans="1:6" x14ac:dyDescent="0.45">
      <c r="A388" t="s">
        <v>233</v>
      </c>
      <c r="B388" t="s">
        <v>144</v>
      </c>
      <c r="C388">
        <v>251000</v>
      </c>
      <c r="D388" t="s">
        <v>241</v>
      </c>
      <c r="E388">
        <v>138050</v>
      </c>
      <c r="F388">
        <v>2.42</v>
      </c>
    </row>
    <row r="389" spans="1:6" x14ac:dyDescent="0.45">
      <c r="A389" t="s">
        <v>233</v>
      </c>
      <c r="B389" t="s">
        <v>144</v>
      </c>
      <c r="C389">
        <v>306000</v>
      </c>
      <c r="D389" t="s">
        <v>242</v>
      </c>
      <c r="E389">
        <v>168300</v>
      </c>
      <c r="F389">
        <v>3.61</v>
      </c>
    </row>
    <row r="390" spans="1:6" x14ac:dyDescent="0.45">
      <c r="A390" t="s">
        <v>233</v>
      </c>
      <c r="B390" t="s">
        <v>144</v>
      </c>
      <c r="C390">
        <v>433000</v>
      </c>
      <c r="D390" t="s">
        <v>243</v>
      </c>
      <c r="E390">
        <v>238150.00000000003</v>
      </c>
      <c r="F390">
        <v>4.42</v>
      </c>
    </row>
    <row r="391" spans="1:6" x14ac:dyDescent="0.45">
      <c r="A391" t="s">
        <v>233</v>
      </c>
      <c r="B391" t="s">
        <v>144</v>
      </c>
      <c r="C391">
        <v>645000</v>
      </c>
      <c r="D391" t="s">
        <v>244</v>
      </c>
      <c r="E391">
        <v>354750</v>
      </c>
      <c r="F391">
        <v>4.88</v>
      </c>
    </row>
    <row r="392" spans="1:6" x14ac:dyDescent="0.45">
      <c r="A392" t="s">
        <v>233</v>
      </c>
      <c r="B392" t="s">
        <v>144</v>
      </c>
      <c r="C392">
        <v>861000</v>
      </c>
      <c r="D392" t="s">
        <v>245</v>
      </c>
      <c r="E392">
        <v>473550.00000000006</v>
      </c>
      <c r="F392">
        <v>5.57</v>
      </c>
    </row>
    <row r="393" spans="1:6" x14ac:dyDescent="0.45">
      <c r="A393" t="s">
        <v>246</v>
      </c>
      <c r="B393" t="s">
        <v>144</v>
      </c>
      <c r="C393">
        <v>2350</v>
      </c>
      <c r="D393" t="s">
        <v>247</v>
      </c>
      <c r="E393">
        <v>1530</v>
      </c>
      <c r="F393">
        <v>0.12</v>
      </c>
    </row>
    <row r="394" spans="1:6" x14ac:dyDescent="0.45">
      <c r="A394" t="s">
        <v>246</v>
      </c>
      <c r="B394" t="s">
        <v>144</v>
      </c>
      <c r="C394">
        <v>2900</v>
      </c>
      <c r="D394" t="s">
        <v>248</v>
      </c>
      <c r="E394">
        <v>1890</v>
      </c>
      <c r="F394">
        <v>0.12</v>
      </c>
    </row>
    <row r="395" spans="1:6" x14ac:dyDescent="0.45">
      <c r="A395" t="s">
        <v>246</v>
      </c>
      <c r="B395" t="s">
        <v>144</v>
      </c>
      <c r="C395">
        <v>3820</v>
      </c>
      <c r="D395" t="s">
        <v>249</v>
      </c>
      <c r="E395">
        <v>2480</v>
      </c>
      <c r="F395">
        <v>0.14000000000000001</v>
      </c>
    </row>
    <row r="396" spans="1:6" x14ac:dyDescent="0.45">
      <c r="A396" t="s">
        <v>246</v>
      </c>
      <c r="B396" t="s">
        <v>144</v>
      </c>
      <c r="C396">
        <v>4840</v>
      </c>
      <c r="D396" t="s">
        <v>250</v>
      </c>
      <c r="E396">
        <v>3150</v>
      </c>
      <c r="F396">
        <v>0.16</v>
      </c>
    </row>
    <row r="397" spans="1:6" x14ac:dyDescent="0.45">
      <c r="A397" t="s">
        <v>246</v>
      </c>
      <c r="B397" t="s">
        <v>144</v>
      </c>
      <c r="C397">
        <v>5410</v>
      </c>
      <c r="D397" t="s">
        <v>251</v>
      </c>
      <c r="E397">
        <v>3520</v>
      </c>
      <c r="F397">
        <v>0.18</v>
      </c>
    </row>
    <row r="398" spans="1:6" x14ac:dyDescent="0.45">
      <c r="A398" t="s">
        <v>246</v>
      </c>
      <c r="B398" t="s">
        <v>144</v>
      </c>
      <c r="C398">
        <v>7330</v>
      </c>
      <c r="D398" t="s">
        <v>252</v>
      </c>
      <c r="E398">
        <v>4760</v>
      </c>
      <c r="F398">
        <v>0.22</v>
      </c>
    </row>
    <row r="399" spans="1:6" x14ac:dyDescent="0.45">
      <c r="A399" t="s">
        <v>246</v>
      </c>
      <c r="B399" t="s">
        <v>144</v>
      </c>
      <c r="C399">
        <v>15550</v>
      </c>
      <c r="D399" t="s">
        <v>253</v>
      </c>
      <c r="E399">
        <v>10110</v>
      </c>
      <c r="F399">
        <v>0.37</v>
      </c>
    </row>
    <row r="400" spans="1:6" x14ac:dyDescent="0.45">
      <c r="A400" t="s">
        <v>246</v>
      </c>
      <c r="B400" t="s">
        <v>144</v>
      </c>
      <c r="C400">
        <v>19360</v>
      </c>
      <c r="D400" t="s">
        <v>254</v>
      </c>
      <c r="E400">
        <v>12580</v>
      </c>
      <c r="F400">
        <v>0.44</v>
      </c>
    </row>
    <row r="401" spans="1:6" x14ac:dyDescent="0.45">
      <c r="A401" t="s">
        <v>246</v>
      </c>
      <c r="B401" t="s">
        <v>144</v>
      </c>
      <c r="C401">
        <v>3000</v>
      </c>
      <c r="D401" t="s">
        <v>255</v>
      </c>
      <c r="E401">
        <v>1950</v>
      </c>
      <c r="F401">
        <v>0.12</v>
      </c>
    </row>
    <row r="402" spans="1:6" x14ac:dyDescent="0.45">
      <c r="A402" t="s">
        <v>246</v>
      </c>
      <c r="B402" t="s">
        <v>144</v>
      </c>
      <c r="C402">
        <v>3490</v>
      </c>
      <c r="D402" t="s">
        <v>256</v>
      </c>
      <c r="E402">
        <v>2270</v>
      </c>
      <c r="F402">
        <v>0.12</v>
      </c>
    </row>
    <row r="403" spans="1:6" x14ac:dyDescent="0.45">
      <c r="A403" t="s">
        <v>246</v>
      </c>
      <c r="B403" t="s">
        <v>144</v>
      </c>
      <c r="C403">
        <v>4950</v>
      </c>
      <c r="D403" t="s">
        <v>257</v>
      </c>
      <c r="E403">
        <v>3220</v>
      </c>
      <c r="F403">
        <v>0.14000000000000001</v>
      </c>
    </row>
    <row r="404" spans="1:6" x14ac:dyDescent="0.45">
      <c r="A404" t="s">
        <v>246</v>
      </c>
      <c r="B404" t="s">
        <v>144</v>
      </c>
      <c r="C404">
        <v>6040</v>
      </c>
      <c r="D404" t="s">
        <v>258</v>
      </c>
      <c r="E404">
        <v>3930</v>
      </c>
      <c r="F404">
        <v>0.16</v>
      </c>
    </row>
    <row r="405" spans="1:6" x14ac:dyDescent="0.45">
      <c r="A405" t="s">
        <v>246</v>
      </c>
      <c r="B405" t="s">
        <v>144</v>
      </c>
      <c r="C405">
        <v>7480</v>
      </c>
      <c r="D405" t="s">
        <v>259</v>
      </c>
      <c r="E405">
        <v>4860</v>
      </c>
      <c r="F405">
        <v>0.18</v>
      </c>
    </row>
    <row r="406" spans="1:6" x14ac:dyDescent="0.45">
      <c r="A406" t="s">
        <v>246</v>
      </c>
      <c r="B406" t="s">
        <v>144</v>
      </c>
      <c r="C406">
        <v>10650</v>
      </c>
      <c r="D406" t="s">
        <v>260</v>
      </c>
      <c r="E406">
        <v>6920</v>
      </c>
      <c r="F406">
        <v>0.22</v>
      </c>
    </row>
    <row r="407" spans="1:6" x14ac:dyDescent="0.45">
      <c r="A407" t="s">
        <v>246</v>
      </c>
      <c r="B407" t="s">
        <v>144</v>
      </c>
      <c r="C407">
        <v>20620</v>
      </c>
      <c r="D407" t="s">
        <v>261</v>
      </c>
      <c r="E407">
        <v>13400</v>
      </c>
      <c r="F407">
        <v>0.37</v>
      </c>
    </row>
    <row r="408" spans="1:6" x14ac:dyDescent="0.45">
      <c r="A408" t="s">
        <v>246</v>
      </c>
      <c r="B408" t="s">
        <v>144</v>
      </c>
      <c r="C408">
        <v>26800</v>
      </c>
      <c r="D408" t="s">
        <v>262</v>
      </c>
      <c r="E408">
        <v>17420</v>
      </c>
      <c r="F408">
        <v>0.44</v>
      </c>
    </row>
    <row r="409" spans="1:6" x14ac:dyDescent="0.45">
      <c r="A409" t="s">
        <v>246</v>
      </c>
      <c r="B409" t="s">
        <v>144</v>
      </c>
      <c r="C409">
        <v>6800</v>
      </c>
      <c r="D409" t="s">
        <v>263</v>
      </c>
      <c r="E409">
        <v>4420</v>
      </c>
      <c r="F409">
        <v>0.16</v>
      </c>
    </row>
    <row r="410" spans="1:6" x14ac:dyDescent="0.45">
      <c r="A410" t="s">
        <v>246</v>
      </c>
      <c r="B410" t="s">
        <v>144</v>
      </c>
      <c r="C410">
        <v>6800</v>
      </c>
      <c r="D410" t="s">
        <v>264</v>
      </c>
      <c r="E410">
        <v>4420</v>
      </c>
      <c r="F410">
        <v>0.16</v>
      </c>
    </row>
    <row r="411" spans="1:6" x14ac:dyDescent="0.45">
      <c r="A411" t="s">
        <v>246</v>
      </c>
      <c r="B411" t="s">
        <v>144</v>
      </c>
      <c r="C411">
        <v>8810</v>
      </c>
      <c r="D411" t="s">
        <v>265</v>
      </c>
      <c r="E411">
        <v>5726.5</v>
      </c>
      <c r="F411">
        <v>0.18</v>
      </c>
    </row>
    <row r="412" spans="1:6" x14ac:dyDescent="0.45">
      <c r="A412" t="s">
        <v>246</v>
      </c>
      <c r="B412" t="s">
        <v>144</v>
      </c>
      <c r="C412">
        <v>8810</v>
      </c>
      <c r="D412" t="s">
        <v>266</v>
      </c>
      <c r="E412">
        <v>5726.5</v>
      </c>
      <c r="F412">
        <v>0.18</v>
      </c>
    </row>
    <row r="413" spans="1:6" x14ac:dyDescent="0.45">
      <c r="A413" t="s">
        <v>246</v>
      </c>
      <c r="B413" t="s">
        <v>144</v>
      </c>
      <c r="C413">
        <v>10830</v>
      </c>
      <c r="D413" t="s">
        <v>267</v>
      </c>
      <c r="E413">
        <v>7039.5</v>
      </c>
      <c r="F413">
        <v>0.22</v>
      </c>
    </row>
    <row r="414" spans="1:6" x14ac:dyDescent="0.45">
      <c r="A414" t="s">
        <v>246</v>
      </c>
      <c r="B414" t="s">
        <v>144</v>
      </c>
      <c r="C414">
        <v>10830</v>
      </c>
      <c r="D414" t="s">
        <v>268</v>
      </c>
      <c r="E414">
        <v>7039.5</v>
      </c>
      <c r="F414">
        <v>0.22</v>
      </c>
    </row>
    <row r="415" spans="1:6" x14ac:dyDescent="0.45">
      <c r="A415" t="s">
        <v>269</v>
      </c>
      <c r="B415" t="s">
        <v>144</v>
      </c>
      <c r="C415">
        <v>126000</v>
      </c>
      <c r="D415" t="s">
        <v>270</v>
      </c>
      <c r="E415">
        <v>81900</v>
      </c>
      <c r="F415">
        <v>1.1399999999999999</v>
      </c>
    </row>
    <row r="416" spans="1:6" x14ac:dyDescent="0.45">
      <c r="A416" t="s">
        <v>271</v>
      </c>
      <c r="B416" t="s">
        <v>144</v>
      </c>
      <c r="C416">
        <v>126000</v>
      </c>
      <c r="D416" t="s">
        <v>272</v>
      </c>
      <c r="E416">
        <v>81900</v>
      </c>
      <c r="F416">
        <v>1.35</v>
      </c>
    </row>
    <row r="417" spans="1:6" x14ac:dyDescent="0.45">
      <c r="A417" t="s">
        <v>273</v>
      </c>
      <c r="B417" t="s">
        <v>144</v>
      </c>
      <c r="C417">
        <v>158000</v>
      </c>
      <c r="D417" t="s">
        <v>274</v>
      </c>
      <c r="E417">
        <v>102700</v>
      </c>
      <c r="F417">
        <v>1.85</v>
      </c>
    </row>
    <row r="418" spans="1:6" x14ac:dyDescent="0.45">
      <c r="A418" t="s">
        <v>273</v>
      </c>
      <c r="B418" t="s">
        <v>144</v>
      </c>
      <c r="C418">
        <v>159000</v>
      </c>
      <c r="D418" t="s">
        <v>275</v>
      </c>
      <c r="E418">
        <v>103350</v>
      </c>
      <c r="F418">
        <v>2.33</v>
      </c>
    </row>
    <row r="419" spans="1:6" x14ac:dyDescent="0.45">
      <c r="A419" t="s">
        <v>273</v>
      </c>
      <c r="B419" t="s">
        <v>144</v>
      </c>
      <c r="C419">
        <v>184000</v>
      </c>
      <c r="D419" t="s">
        <v>276</v>
      </c>
      <c r="E419">
        <v>119600</v>
      </c>
      <c r="F419">
        <v>2.63</v>
      </c>
    </row>
    <row r="420" spans="1:6" x14ac:dyDescent="0.45">
      <c r="A420" t="s">
        <v>273</v>
      </c>
      <c r="B420" t="s">
        <v>144</v>
      </c>
      <c r="C420">
        <v>217000</v>
      </c>
      <c r="D420" t="s">
        <v>277</v>
      </c>
      <c r="E420">
        <v>141050</v>
      </c>
      <c r="F420">
        <v>2.93</v>
      </c>
    </row>
    <row r="421" spans="1:6" x14ac:dyDescent="0.45">
      <c r="A421" t="s">
        <v>273</v>
      </c>
      <c r="B421" t="s">
        <v>144</v>
      </c>
      <c r="C421">
        <v>289000</v>
      </c>
      <c r="D421" t="s">
        <v>278</v>
      </c>
      <c r="E421">
        <v>187850</v>
      </c>
      <c r="F421">
        <v>3.29</v>
      </c>
    </row>
    <row r="422" spans="1:6" x14ac:dyDescent="0.45">
      <c r="A422" t="s">
        <v>273</v>
      </c>
      <c r="B422" t="s">
        <v>144</v>
      </c>
      <c r="C422">
        <v>409000</v>
      </c>
      <c r="D422" t="s">
        <v>279</v>
      </c>
      <c r="E422">
        <v>265850</v>
      </c>
      <c r="F422">
        <v>3.77</v>
      </c>
    </row>
    <row r="423" spans="1:6" x14ac:dyDescent="0.45">
      <c r="A423" t="s">
        <v>273</v>
      </c>
      <c r="B423" t="s">
        <v>144</v>
      </c>
      <c r="C423">
        <v>707000</v>
      </c>
      <c r="D423" t="s">
        <v>280</v>
      </c>
      <c r="E423">
        <v>459550</v>
      </c>
      <c r="F423">
        <v>4.12</v>
      </c>
    </row>
    <row r="424" spans="1:6" x14ac:dyDescent="0.45">
      <c r="A424" t="s">
        <v>281</v>
      </c>
      <c r="B424" t="s">
        <v>144</v>
      </c>
      <c r="C424">
        <v>192000</v>
      </c>
      <c r="D424" t="s">
        <v>282</v>
      </c>
      <c r="E424">
        <v>127680</v>
      </c>
      <c r="F424">
        <v>1.1000000000000001</v>
      </c>
    </row>
    <row r="425" spans="1:6" x14ac:dyDescent="0.45">
      <c r="A425" t="s">
        <v>281</v>
      </c>
      <c r="B425" t="s">
        <v>144</v>
      </c>
      <c r="C425">
        <v>207000</v>
      </c>
      <c r="D425" t="s">
        <v>283</v>
      </c>
      <c r="E425">
        <v>137655</v>
      </c>
      <c r="F425">
        <v>1.1399999999999999</v>
      </c>
    </row>
    <row r="426" spans="1:6" x14ac:dyDescent="0.45">
      <c r="A426" t="s">
        <v>281</v>
      </c>
      <c r="B426" t="s">
        <v>144</v>
      </c>
      <c r="C426">
        <v>231000</v>
      </c>
      <c r="D426" t="s">
        <v>284</v>
      </c>
      <c r="E426">
        <v>153615</v>
      </c>
      <c r="F426">
        <v>1.61</v>
      </c>
    </row>
    <row r="427" spans="1:6" x14ac:dyDescent="0.45">
      <c r="A427" t="s">
        <v>281</v>
      </c>
      <c r="B427" t="s">
        <v>144</v>
      </c>
      <c r="C427">
        <v>251000</v>
      </c>
      <c r="D427" t="s">
        <v>285</v>
      </c>
      <c r="E427">
        <v>166915</v>
      </c>
      <c r="F427">
        <v>1.8</v>
      </c>
    </row>
    <row r="428" spans="1:6" x14ac:dyDescent="0.45">
      <c r="A428" t="s">
        <v>281</v>
      </c>
      <c r="B428" t="s">
        <v>144</v>
      </c>
      <c r="C428">
        <v>272000</v>
      </c>
      <c r="D428" t="s">
        <v>286</v>
      </c>
      <c r="E428">
        <v>180880</v>
      </c>
      <c r="F428">
        <v>2.2599999999999998</v>
      </c>
    </row>
    <row r="429" spans="1:6" x14ac:dyDescent="0.45">
      <c r="A429" t="s">
        <v>281</v>
      </c>
      <c r="B429" t="s">
        <v>144</v>
      </c>
      <c r="C429">
        <v>351000</v>
      </c>
      <c r="D429" t="s">
        <v>287</v>
      </c>
      <c r="E429">
        <v>233415</v>
      </c>
      <c r="F429">
        <v>2.72</v>
      </c>
    </row>
    <row r="430" spans="1:6" x14ac:dyDescent="0.45">
      <c r="A430" t="s">
        <v>281</v>
      </c>
      <c r="B430" t="s">
        <v>144</v>
      </c>
      <c r="C430">
        <v>453000</v>
      </c>
      <c r="D430" t="s">
        <v>288</v>
      </c>
      <c r="E430">
        <v>301245</v>
      </c>
      <c r="F430">
        <v>3.2</v>
      </c>
    </row>
    <row r="431" spans="1:6" x14ac:dyDescent="0.45">
      <c r="A431" t="s">
        <v>289</v>
      </c>
      <c r="B431" t="s">
        <v>144</v>
      </c>
      <c r="C431">
        <v>21100</v>
      </c>
      <c r="D431" t="s">
        <v>290</v>
      </c>
      <c r="E431">
        <v>13715</v>
      </c>
      <c r="F431">
        <v>1.08</v>
      </c>
    </row>
    <row r="432" spans="1:6" x14ac:dyDescent="0.45">
      <c r="A432" t="s">
        <v>289</v>
      </c>
      <c r="B432" t="s">
        <v>144</v>
      </c>
      <c r="C432">
        <v>23800</v>
      </c>
      <c r="D432" t="s">
        <v>291</v>
      </c>
      <c r="E432">
        <v>15470</v>
      </c>
      <c r="F432">
        <v>1.08</v>
      </c>
    </row>
    <row r="433" spans="1:6" x14ac:dyDescent="0.45">
      <c r="A433" t="s">
        <v>289</v>
      </c>
      <c r="B433" t="s">
        <v>144</v>
      </c>
      <c r="C433">
        <v>33400</v>
      </c>
      <c r="D433" t="s">
        <v>292</v>
      </c>
      <c r="E433">
        <v>21710</v>
      </c>
      <c r="F433">
        <v>1.08</v>
      </c>
    </row>
    <row r="434" spans="1:6" x14ac:dyDescent="0.45">
      <c r="A434" t="s">
        <v>293</v>
      </c>
      <c r="B434" t="s">
        <v>144</v>
      </c>
      <c r="C434">
        <v>89100</v>
      </c>
      <c r="D434" t="s">
        <v>294</v>
      </c>
      <c r="E434">
        <v>57915</v>
      </c>
      <c r="F434">
        <v>1.46</v>
      </c>
    </row>
    <row r="435" spans="1:6" x14ac:dyDescent="0.45">
      <c r="A435" t="s">
        <v>293</v>
      </c>
      <c r="B435" t="s">
        <v>144</v>
      </c>
      <c r="C435">
        <v>103000</v>
      </c>
      <c r="D435" t="s">
        <v>295</v>
      </c>
      <c r="E435">
        <v>66950</v>
      </c>
      <c r="F435">
        <v>1.46</v>
      </c>
    </row>
    <row r="436" spans="1:6" x14ac:dyDescent="0.45">
      <c r="A436" t="s">
        <v>293</v>
      </c>
      <c r="B436" t="s">
        <v>144</v>
      </c>
      <c r="C436">
        <v>103000</v>
      </c>
      <c r="D436" t="s">
        <v>296</v>
      </c>
      <c r="E436">
        <v>66950</v>
      </c>
      <c r="F436">
        <v>1.87</v>
      </c>
    </row>
    <row r="437" spans="1:6" x14ac:dyDescent="0.45">
      <c r="A437" t="s">
        <v>293</v>
      </c>
      <c r="B437" t="s">
        <v>144</v>
      </c>
      <c r="C437">
        <v>137000</v>
      </c>
      <c r="D437" t="s">
        <v>297</v>
      </c>
      <c r="E437">
        <v>89050</v>
      </c>
      <c r="F437">
        <v>1.87</v>
      </c>
    </row>
    <row r="438" spans="1:6" x14ac:dyDescent="0.45">
      <c r="A438" t="s">
        <v>293</v>
      </c>
      <c r="B438" t="s">
        <v>144</v>
      </c>
      <c r="C438">
        <v>137000</v>
      </c>
      <c r="D438" t="s">
        <v>298</v>
      </c>
      <c r="E438">
        <v>89050</v>
      </c>
      <c r="F438">
        <v>2.21</v>
      </c>
    </row>
    <row r="439" spans="1:6" x14ac:dyDescent="0.45">
      <c r="A439" t="s">
        <v>299</v>
      </c>
      <c r="B439" t="s">
        <v>144</v>
      </c>
      <c r="C439">
        <v>28500</v>
      </c>
      <c r="D439" t="s">
        <v>300</v>
      </c>
      <c r="E439">
        <v>12540</v>
      </c>
      <c r="F439">
        <v>0.11</v>
      </c>
    </row>
    <row r="440" spans="1:6" x14ac:dyDescent="0.45">
      <c r="A440" t="s">
        <v>299</v>
      </c>
      <c r="B440" t="s">
        <v>144</v>
      </c>
      <c r="C440">
        <v>31400</v>
      </c>
      <c r="D440" t="s">
        <v>301</v>
      </c>
      <c r="E440">
        <v>13816</v>
      </c>
      <c r="F440">
        <v>0.11</v>
      </c>
    </row>
    <row r="441" spans="1:6" x14ac:dyDescent="0.45">
      <c r="A441" t="s">
        <v>299</v>
      </c>
      <c r="B441" t="s">
        <v>144</v>
      </c>
      <c r="C441">
        <v>40500</v>
      </c>
      <c r="D441" t="s">
        <v>302</v>
      </c>
      <c r="E441">
        <v>17820</v>
      </c>
      <c r="F441">
        <v>0.12</v>
      </c>
    </row>
    <row r="442" spans="1:6" x14ac:dyDescent="0.45">
      <c r="A442" t="s">
        <v>299</v>
      </c>
      <c r="B442" t="s">
        <v>144</v>
      </c>
      <c r="C442">
        <v>49500</v>
      </c>
      <c r="D442" t="s">
        <v>303</v>
      </c>
      <c r="E442">
        <v>21780</v>
      </c>
      <c r="F442">
        <v>0.15</v>
      </c>
    </row>
    <row r="443" spans="1:6" x14ac:dyDescent="0.45">
      <c r="A443" t="s">
        <v>299</v>
      </c>
      <c r="B443" t="s">
        <v>144</v>
      </c>
      <c r="C443">
        <v>64400</v>
      </c>
      <c r="D443" t="s">
        <v>304</v>
      </c>
      <c r="E443">
        <v>28336</v>
      </c>
      <c r="F443">
        <v>0.17</v>
      </c>
    </row>
    <row r="444" spans="1:6" x14ac:dyDescent="0.45">
      <c r="A444" t="s">
        <v>299</v>
      </c>
      <c r="B444" t="s">
        <v>144</v>
      </c>
      <c r="C444">
        <v>85700</v>
      </c>
      <c r="D444" t="s">
        <v>305</v>
      </c>
      <c r="E444">
        <v>37708</v>
      </c>
      <c r="F444">
        <v>0.22</v>
      </c>
    </row>
    <row r="445" spans="1:6" x14ac:dyDescent="0.45">
      <c r="A445" t="s">
        <v>306</v>
      </c>
      <c r="B445" t="s">
        <v>144</v>
      </c>
      <c r="C445">
        <v>82200</v>
      </c>
      <c r="D445" t="s">
        <v>307</v>
      </c>
      <c r="E445">
        <v>53430</v>
      </c>
      <c r="F445">
        <v>0.11</v>
      </c>
    </row>
    <row r="446" spans="1:6" x14ac:dyDescent="0.45">
      <c r="A446" t="s">
        <v>306</v>
      </c>
      <c r="B446" t="s">
        <v>144</v>
      </c>
      <c r="C446">
        <v>85200</v>
      </c>
      <c r="D446" t="s">
        <v>308</v>
      </c>
      <c r="E446">
        <v>55380</v>
      </c>
      <c r="F446">
        <v>0.11</v>
      </c>
    </row>
    <row r="447" spans="1:6" x14ac:dyDescent="0.45">
      <c r="A447" t="s">
        <v>306</v>
      </c>
      <c r="B447" t="s">
        <v>144</v>
      </c>
      <c r="C447">
        <v>94000</v>
      </c>
      <c r="D447" t="s">
        <v>309</v>
      </c>
      <c r="E447">
        <v>61100</v>
      </c>
      <c r="F447">
        <v>0.12</v>
      </c>
    </row>
    <row r="448" spans="1:6" x14ac:dyDescent="0.45">
      <c r="A448" t="s">
        <v>306</v>
      </c>
      <c r="B448" t="s">
        <v>144</v>
      </c>
      <c r="C448">
        <v>127000</v>
      </c>
      <c r="D448" t="s">
        <v>310</v>
      </c>
      <c r="E448">
        <v>82550</v>
      </c>
      <c r="F448">
        <v>0.15</v>
      </c>
    </row>
    <row r="449" spans="1:6" x14ac:dyDescent="0.45">
      <c r="A449" t="s">
        <v>306</v>
      </c>
      <c r="B449" t="s">
        <v>144</v>
      </c>
      <c r="C449">
        <v>129000</v>
      </c>
      <c r="D449" t="s">
        <v>311</v>
      </c>
      <c r="E449">
        <v>83850</v>
      </c>
      <c r="F449">
        <v>0.17</v>
      </c>
    </row>
    <row r="450" spans="1:6" x14ac:dyDescent="0.45">
      <c r="A450" t="s">
        <v>306</v>
      </c>
      <c r="B450" t="s">
        <v>144</v>
      </c>
      <c r="C450">
        <v>152000</v>
      </c>
      <c r="D450" t="s">
        <v>312</v>
      </c>
      <c r="E450">
        <v>98800</v>
      </c>
      <c r="F450">
        <v>0.22</v>
      </c>
    </row>
    <row r="451" spans="1:6" x14ac:dyDescent="0.45">
      <c r="A451" t="s">
        <v>313</v>
      </c>
      <c r="B451" t="s">
        <v>144</v>
      </c>
      <c r="C451">
        <v>194000</v>
      </c>
      <c r="D451" t="s">
        <v>314</v>
      </c>
      <c r="E451">
        <v>126100</v>
      </c>
      <c r="F451">
        <v>0.17</v>
      </c>
    </row>
    <row r="452" spans="1:6" x14ac:dyDescent="0.45">
      <c r="A452" t="s">
        <v>313</v>
      </c>
      <c r="B452" t="s">
        <v>144</v>
      </c>
      <c r="C452">
        <v>209000</v>
      </c>
      <c r="D452" t="s">
        <v>315</v>
      </c>
      <c r="E452">
        <v>135850</v>
      </c>
      <c r="F452">
        <v>0.18</v>
      </c>
    </row>
    <row r="453" spans="1:6" x14ac:dyDescent="0.45">
      <c r="A453" t="s">
        <v>313</v>
      </c>
      <c r="B453" t="s">
        <v>144</v>
      </c>
      <c r="C453">
        <v>305000</v>
      </c>
      <c r="D453" t="s">
        <v>316</v>
      </c>
      <c r="E453">
        <v>198250</v>
      </c>
      <c r="F453">
        <v>0.32</v>
      </c>
    </row>
    <row r="454" spans="1:6" x14ac:dyDescent="0.45">
      <c r="A454" t="s">
        <v>313</v>
      </c>
      <c r="B454" t="s">
        <v>144</v>
      </c>
      <c r="C454">
        <v>350000</v>
      </c>
      <c r="D454" t="s">
        <v>317</v>
      </c>
      <c r="E454">
        <v>227500</v>
      </c>
      <c r="F454">
        <v>0.39</v>
      </c>
    </row>
    <row r="455" spans="1:6" x14ac:dyDescent="0.45">
      <c r="A455" t="s">
        <v>313</v>
      </c>
      <c r="B455" t="s">
        <v>144</v>
      </c>
      <c r="C455">
        <v>485000</v>
      </c>
      <c r="D455" t="s">
        <v>318</v>
      </c>
      <c r="E455">
        <v>315250</v>
      </c>
      <c r="F455">
        <v>0.48</v>
      </c>
    </row>
    <row r="456" spans="1:6" x14ac:dyDescent="0.45">
      <c r="A456" t="s">
        <v>313</v>
      </c>
      <c r="B456" t="s">
        <v>144</v>
      </c>
      <c r="C456">
        <v>949000</v>
      </c>
      <c r="D456" t="s">
        <v>319</v>
      </c>
      <c r="E456">
        <v>616850</v>
      </c>
      <c r="F456">
        <v>0.56999999999999995</v>
      </c>
    </row>
    <row r="457" spans="1:6" x14ac:dyDescent="0.45">
      <c r="A457" t="s">
        <v>313</v>
      </c>
      <c r="B457" t="s">
        <v>144</v>
      </c>
      <c r="C457">
        <v>1266000</v>
      </c>
      <c r="D457" t="s">
        <v>320</v>
      </c>
      <c r="E457">
        <v>822900</v>
      </c>
      <c r="F457">
        <v>0.65</v>
      </c>
    </row>
    <row r="458" spans="1:6" x14ac:dyDescent="0.45">
      <c r="A458" t="s">
        <v>321</v>
      </c>
      <c r="B458" t="s">
        <v>144</v>
      </c>
      <c r="C458">
        <v>19850</v>
      </c>
      <c r="D458" t="s">
        <v>322</v>
      </c>
      <c r="E458">
        <v>10560</v>
      </c>
      <c r="F458">
        <v>0.08</v>
      </c>
    </row>
    <row r="459" spans="1:6" x14ac:dyDescent="0.45">
      <c r="A459" t="s">
        <v>321</v>
      </c>
      <c r="B459" t="s">
        <v>144</v>
      </c>
      <c r="C459">
        <v>19850</v>
      </c>
      <c r="D459" t="s">
        <v>323</v>
      </c>
      <c r="E459">
        <v>10560</v>
      </c>
      <c r="F459">
        <v>0.08</v>
      </c>
    </row>
    <row r="460" spans="1:6" x14ac:dyDescent="0.45">
      <c r="A460" t="s">
        <v>321</v>
      </c>
      <c r="B460" t="s">
        <v>144</v>
      </c>
      <c r="C460">
        <v>23780</v>
      </c>
      <c r="D460" t="s">
        <v>324</v>
      </c>
      <c r="E460">
        <v>12650</v>
      </c>
      <c r="F460">
        <v>0.08</v>
      </c>
    </row>
    <row r="461" spans="1:6" x14ac:dyDescent="0.45">
      <c r="A461" t="s">
        <v>325</v>
      </c>
      <c r="B461" t="s">
        <v>144</v>
      </c>
      <c r="C461">
        <v>39670</v>
      </c>
      <c r="D461" t="s">
        <v>326</v>
      </c>
      <c r="E461">
        <v>21100</v>
      </c>
      <c r="F461">
        <v>0.08</v>
      </c>
    </row>
    <row r="462" spans="1:6" x14ac:dyDescent="0.45">
      <c r="A462" t="s">
        <v>325</v>
      </c>
      <c r="B462" t="s">
        <v>144</v>
      </c>
      <c r="C462">
        <v>35740</v>
      </c>
      <c r="D462" t="s">
        <v>327</v>
      </c>
      <c r="E462">
        <v>19010</v>
      </c>
      <c r="F462">
        <v>0.08</v>
      </c>
    </row>
    <row r="463" spans="1:6" x14ac:dyDescent="0.45">
      <c r="A463" t="s">
        <v>328</v>
      </c>
      <c r="B463" t="s">
        <v>144</v>
      </c>
      <c r="C463">
        <v>29080</v>
      </c>
      <c r="D463" t="s">
        <v>329</v>
      </c>
      <c r="E463">
        <v>15470</v>
      </c>
      <c r="F463">
        <v>0.08</v>
      </c>
    </row>
    <row r="464" spans="1:6" x14ac:dyDescent="0.45">
      <c r="A464" t="s">
        <v>328</v>
      </c>
      <c r="B464" t="s">
        <v>144</v>
      </c>
      <c r="C464">
        <v>29080</v>
      </c>
      <c r="D464" t="s">
        <v>330</v>
      </c>
      <c r="E464">
        <v>15470</v>
      </c>
      <c r="F464">
        <v>0.08</v>
      </c>
    </row>
    <row r="465" spans="1:7" x14ac:dyDescent="0.45">
      <c r="A465" t="s">
        <v>331</v>
      </c>
      <c r="B465" t="s">
        <v>144</v>
      </c>
      <c r="C465">
        <v>4760</v>
      </c>
      <c r="D465" t="s">
        <v>9</v>
      </c>
      <c r="E465">
        <v>2530</v>
      </c>
      <c r="F465">
        <v>0.08</v>
      </c>
    </row>
    <row r="466" spans="1:7" x14ac:dyDescent="0.45">
      <c r="A466" t="s">
        <v>332</v>
      </c>
      <c r="B466" t="s">
        <v>144</v>
      </c>
      <c r="C466">
        <v>30600</v>
      </c>
      <c r="D466" t="s">
        <v>333</v>
      </c>
      <c r="E466">
        <v>24480</v>
      </c>
      <c r="F466">
        <v>0.08</v>
      </c>
    </row>
    <row r="467" spans="1:7" x14ac:dyDescent="0.45">
      <c r="A467" t="s">
        <v>334</v>
      </c>
      <c r="B467" t="s">
        <v>144</v>
      </c>
      <c r="C467">
        <v>36100</v>
      </c>
      <c r="D467" t="s">
        <v>335</v>
      </c>
      <c r="E467">
        <v>28880</v>
      </c>
      <c r="F467">
        <v>0.08</v>
      </c>
    </row>
    <row r="468" spans="1:7" x14ac:dyDescent="0.45">
      <c r="A468" t="s">
        <v>332</v>
      </c>
      <c r="B468" t="s">
        <v>144</v>
      </c>
      <c r="C468">
        <v>30000</v>
      </c>
      <c r="D468" t="s">
        <v>336</v>
      </c>
      <c r="E468">
        <v>24000</v>
      </c>
      <c r="F468">
        <v>0.08</v>
      </c>
    </row>
    <row r="469" spans="1:7" x14ac:dyDescent="0.45">
      <c r="A469" t="s">
        <v>332</v>
      </c>
      <c r="B469" t="s">
        <v>144</v>
      </c>
      <c r="C469">
        <v>19200</v>
      </c>
      <c r="D469" t="s">
        <v>337</v>
      </c>
      <c r="E469">
        <v>15360</v>
      </c>
      <c r="F469">
        <v>0.08</v>
      </c>
    </row>
    <row r="470" spans="1:7" x14ac:dyDescent="0.45">
      <c r="A470" t="s">
        <v>338</v>
      </c>
      <c r="B470" t="s">
        <v>44</v>
      </c>
      <c r="C470">
        <v>19500</v>
      </c>
      <c r="D470" t="s">
        <v>339</v>
      </c>
      <c r="E470">
        <v>7290</v>
      </c>
      <c r="F470">
        <v>0.3</v>
      </c>
      <c r="G470" t="s">
        <v>340</v>
      </c>
    </row>
    <row r="471" spans="1:7" x14ac:dyDescent="0.45">
      <c r="A471" t="s">
        <v>338</v>
      </c>
      <c r="B471" t="s">
        <v>44</v>
      </c>
      <c r="C471">
        <v>37900</v>
      </c>
      <c r="D471" t="s">
        <v>341</v>
      </c>
      <c r="E471">
        <v>7700</v>
      </c>
      <c r="F471">
        <v>0.5</v>
      </c>
      <c r="G471" t="s">
        <v>342</v>
      </c>
    </row>
    <row r="472" spans="1:7" x14ac:dyDescent="0.45">
      <c r="A472" t="s">
        <v>338</v>
      </c>
      <c r="B472" t="s">
        <v>44</v>
      </c>
      <c r="C472">
        <v>55000</v>
      </c>
      <c r="D472" t="s">
        <v>343</v>
      </c>
      <c r="E472">
        <v>16480</v>
      </c>
      <c r="F472">
        <v>0.8</v>
      </c>
      <c r="G472" t="s">
        <v>344</v>
      </c>
    </row>
    <row r="473" spans="1:7" x14ac:dyDescent="0.45">
      <c r="A473" t="s">
        <v>338</v>
      </c>
      <c r="B473" t="s">
        <v>44</v>
      </c>
      <c r="C473">
        <v>14000</v>
      </c>
      <c r="D473" t="s">
        <v>345</v>
      </c>
      <c r="E473">
        <v>5180</v>
      </c>
      <c r="F473">
        <v>0.3</v>
      </c>
      <c r="G473" t="s">
        <v>346</v>
      </c>
    </row>
    <row r="474" spans="1:7" x14ac:dyDescent="0.45">
      <c r="A474" t="s">
        <v>338</v>
      </c>
      <c r="B474" t="s">
        <v>44</v>
      </c>
      <c r="C474">
        <v>21400</v>
      </c>
      <c r="D474" t="s">
        <v>347</v>
      </c>
      <c r="E474">
        <v>8600</v>
      </c>
      <c r="F474">
        <v>0.4</v>
      </c>
      <c r="G474" t="s">
        <v>348</v>
      </c>
    </row>
    <row r="475" spans="1:7" x14ac:dyDescent="0.45">
      <c r="A475" t="s">
        <v>349</v>
      </c>
      <c r="B475" t="s">
        <v>44</v>
      </c>
      <c r="C475">
        <v>19000</v>
      </c>
      <c r="D475" t="s">
        <v>350</v>
      </c>
      <c r="E475">
        <v>4800</v>
      </c>
      <c r="F475">
        <v>0.2</v>
      </c>
      <c r="G475" t="s">
        <v>351</v>
      </c>
    </row>
    <row r="476" spans="1:7" x14ac:dyDescent="0.45">
      <c r="A476" t="s">
        <v>352</v>
      </c>
      <c r="B476" t="s">
        <v>38</v>
      </c>
      <c r="C476">
        <v>15900</v>
      </c>
      <c r="D476" t="s">
        <v>353</v>
      </c>
      <c r="E476">
        <v>2980</v>
      </c>
      <c r="F476">
        <v>0.2</v>
      </c>
      <c r="G476" t="s">
        <v>354</v>
      </c>
    </row>
    <row r="477" spans="1:7" x14ac:dyDescent="0.45">
      <c r="A477" t="s">
        <v>355</v>
      </c>
      <c r="B477" t="s">
        <v>44</v>
      </c>
      <c r="C477">
        <v>15000</v>
      </c>
      <c r="D477" t="s">
        <v>14</v>
      </c>
      <c r="E477">
        <v>10000</v>
      </c>
      <c r="F477">
        <v>0</v>
      </c>
    </row>
    <row r="478" spans="1:7" x14ac:dyDescent="0.45">
      <c r="A478" t="s">
        <v>356</v>
      </c>
      <c r="B478" t="s">
        <v>357</v>
      </c>
      <c r="C478">
        <v>198500</v>
      </c>
      <c r="D478" t="s">
        <v>358</v>
      </c>
      <c r="E478">
        <v>129030</v>
      </c>
      <c r="F478">
        <v>0.3</v>
      </c>
    </row>
    <row r="479" spans="1:7" x14ac:dyDescent="0.45">
      <c r="A479" t="s">
        <v>356</v>
      </c>
      <c r="B479" t="s">
        <v>357</v>
      </c>
      <c r="C479">
        <v>223000</v>
      </c>
      <c r="D479" t="s">
        <v>359</v>
      </c>
      <c r="E479">
        <v>144950</v>
      </c>
      <c r="F479">
        <v>0.4</v>
      </c>
    </row>
    <row r="480" spans="1:7" x14ac:dyDescent="0.45">
      <c r="A480" t="s">
        <v>356</v>
      </c>
      <c r="B480" t="s">
        <v>357</v>
      </c>
      <c r="C480">
        <v>267000</v>
      </c>
      <c r="D480" t="s">
        <v>360</v>
      </c>
      <c r="E480">
        <v>173550</v>
      </c>
      <c r="F480">
        <v>0.4</v>
      </c>
    </row>
    <row r="481" spans="1:6" x14ac:dyDescent="0.45">
      <c r="A481" t="s">
        <v>356</v>
      </c>
      <c r="B481" t="s">
        <v>357</v>
      </c>
      <c r="C481">
        <v>278600</v>
      </c>
      <c r="D481" t="s">
        <v>361</v>
      </c>
      <c r="E481">
        <v>222880</v>
      </c>
      <c r="F481">
        <v>0.5</v>
      </c>
    </row>
    <row r="482" spans="1:6" x14ac:dyDescent="0.45">
      <c r="A482" t="s">
        <v>356</v>
      </c>
      <c r="B482" t="s">
        <v>357</v>
      </c>
      <c r="C482">
        <v>340600</v>
      </c>
      <c r="D482" t="s">
        <v>362</v>
      </c>
      <c r="E482">
        <v>272480</v>
      </c>
      <c r="F482">
        <v>0.5</v>
      </c>
    </row>
    <row r="483" spans="1:6" x14ac:dyDescent="0.45">
      <c r="A483" t="s">
        <v>356</v>
      </c>
      <c r="B483" t="s">
        <v>357</v>
      </c>
      <c r="C483">
        <v>353400</v>
      </c>
      <c r="D483" t="s">
        <v>363</v>
      </c>
      <c r="E483">
        <v>282720</v>
      </c>
      <c r="F483">
        <v>0.5</v>
      </c>
    </row>
    <row r="484" spans="1:6" x14ac:dyDescent="0.45">
      <c r="A484" t="s">
        <v>364</v>
      </c>
      <c r="B484" t="s">
        <v>40</v>
      </c>
      <c r="C484">
        <v>17280</v>
      </c>
      <c r="D484" t="s">
        <v>9</v>
      </c>
      <c r="E484">
        <v>11590</v>
      </c>
      <c r="F484">
        <v>0</v>
      </c>
    </row>
    <row r="485" spans="1:6" x14ac:dyDescent="0.45">
      <c r="A485" t="s">
        <v>365</v>
      </c>
      <c r="B485" t="s">
        <v>40</v>
      </c>
      <c r="C485">
        <v>17820</v>
      </c>
      <c r="D485" t="s">
        <v>10</v>
      </c>
      <c r="E485">
        <v>11950</v>
      </c>
      <c r="F485">
        <v>0</v>
      </c>
    </row>
    <row r="486" spans="1:6" x14ac:dyDescent="0.45">
      <c r="A486" t="s">
        <v>365</v>
      </c>
      <c r="B486" t="s">
        <v>40</v>
      </c>
      <c r="C486">
        <v>18090</v>
      </c>
      <c r="D486" t="s">
        <v>11</v>
      </c>
      <c r="E486">
        <v>12130</v>
      </c>
      <c r="F486">
        <v>0</v>
      </c>
    </row>
    <row r="487" spans="1:6" x14ac:dyDescent="0.45">
      <c r="A487" t="s">
        <v>365</v>
      </c>
      <c r="B487" t="s">
        <v>40</v>
      </c>
      <c r="C487">
        <v>18630</v>
      </c>
      <c r="D487" t="s">
        <v>12</v>
      </c>
      <c r="E487">
        <v>12490</v>
      </c>
      <c r="F487">
        <v>0</v>
      </c>
    </row>
    <row r="488" spans="1:6" x14ac:dyDescent="0.45">
      <c r="A488" t="s">
        <v>365</v>
      </c>
      <c r="B488" t="s">
        <v>40</v>
      </c>
      <c r="C488">
        <v>19170</v>
      </c>
      <c r="D488" t="s">
        <v>13</v>
      </c>
      <c r="E488">
        <v>12870</v>
      </c>
      <c r="F488">
        <v>0</v>
      </c>
    </row>
    <row r="489" spans="1:6" x14ac:dyDescent="0.45">
      <c r="A489" t="s">
        <v>365</v>
      </c>
      <c r="B489" t="s">
        <v>40</v>
      </c>
      <c r="C489">
        <v>20520</v>
      </c>
      <c r="D489" t="s">
        <v>14</v>
      </c>
      <c r="E489">
        <v>13750</v>
      </c>
      <c r="F489">
        <v>0</v>
      </c>
    </row>
    <row r="490" spans="1:6" x14ac:dyDescent="0.45">
      <c r="A490" t="s">
        <v>365</v>
      </c>
      <c r="B490" t="s">
        <v>40</v>
      </c>
      <c r="C490">
        <v>22680</v>
      </c>
      <c r="D490" t="s">
        <v>15</v>
      </c>
      <c r="E490">
        <v>15210</v>
      </c>
      <c r="F490">
        <v>0</v>
      </c>
    </row>
    <row r="491" spans="1:6" x14ac:dyDescent="0.45">
      <c r="A491" t="s">
        <v>365</v>
      </c>
      <c r="B491" t="s">
        <v>40</v>
      </c>
      <c r="C491">
        <v>24300</v>
      </c>
      <c r="D491" t="s">
        <v>16</v>
      </c>
      <c r="E491">
        <v>16290</v>
      </c>
      <c r="F491">
        <v>0</v>
      </c>
    </row>
    <row r="492" spans="1:6" x14ac:dyDescent="0.45">
      <c r="A492" t="s">
        <v>365</v>
      </c>
      <c r="B492" t="s">
        <v>40</v>
      </c>
      <c r="C492">
        <v>30240</v>
      </c>
      <c r="D492" t="s">
        <v>17</v>
      </c>
      <c r="E492">
        <v>20250</v>
      </c>
      <c r="F492">
        <v>0</v>
      </c>
    </row>
    <row r="493" spans="1:6" x14ac:dyDescent="0.45">
      <c r="A493" t="s">
        <v>365</v>
      </c>
      <c r="B493" t="s">
        <v>40</v>
      </c>
      <c r="C493">
        <v>35640</v>
      </c>
      <c r="D493" t="s">
        <v>19</v>
      </c>
      <c r="E493">
        <v>23870</v>
      </c>
      <c r="F493">
        <v>0</v>
      </c>
    </row>
    <row r="494" spans="1:6" x14ac:dyDescent="0.45">
      <c r="A494" t="s">
        <v>365</v>
      </c>
      <c r="B494" t="s">
        <v>40</v>
      </c>
      <c r="C494">
        <v>41040</v>
      </c>
      <c r="D494" t="s">
        <v>20</v>
      </c>
      <c r="E494">
        <v>27500</v>
      </c>
      <c r="F494">
        <v>0</v>
      </c>
    </row>
    <row r="495" spans="1:6" x14ac:dyDescent="0.45">
      <c r="A495" t="s">
        <v>365</v>
      </c>
      <c r="B495" t="s">
        <v>40</v>
      </c>
      <c r="C495">
        <v>79970</v>
      </c>
      <c r="D495" t="s">
        <v>21</v>
      </c>
      <c r="E495">
        <v>53570</v>
      </c>
      <c r="F495">
        <v>1</v>
      </c>
    </row>
    <row r="496" spans="1:6" x14ac:dyDescent="0.45">
      <c r="A496" t="s">
        <v>365</v>
      </c>
      <c r="B496" t="s">
        <v>40</v>
      </c>
      <c r="C496">
        <v>98480</v>
      </c>
      <c r="D496" t="s">
        <v>22</v>
      </c>
      <c r="E496">
        <v>65970</v>
      </c>
      <c r="F496">
        <v>2</v>
      </c>
    </row>
    <row r="497" spans="1:6" x14ac:dyDescent="0.45">
      <c r="A497" t="s">
        <v>365</v>
      </c>
      <c r="B497" t="s">
        <v>40</v>
      </c>
      <c r="C497">
        <v>119700</v>
      </c>
      <c r="D497" t="s">
        <v>23</v>
      </c>
      <c r="E497">
        <v>80190</v>
      </c>
      <c r="F497">
        <v>3</v>
      </c>
    </row>
    <row r="498" spans="1:6" x14ac:dyDescent="0.45">
      <c r="A498" t="s">
        <v>366</v>
      </c>
      <c r="B498" t="s">
        <v>40</v>
      </c>
      <c r="C498">
        <v>24030</v>
      </c>
      <c r="D498" t="s">
        <v>9</v>
      </c>
      <c r="E498">
        <v>16110</v>
      </c>
      <c r="F498">
        <v>0</v>
      </c>
    </row>
    <row r="499" spans="1:6" x14ac:dyDescent="0.45">
      <c r="A499" t="s">
        <v>366</v>
      </c>
      <c r="B499" t="s">
        <v>40</v>
      </c>
      <c r="C499">
        <v>24840</v>
      </c>
      <c r="D499" t="s">
        <v>10</v>
      </c>
      <c r="E499">
        <v>16650</v>
      </c>
      <c r="F499">
        <v>0</v>
      </c>
    </row>
    <row r="500" spans="1:6" x14ac:dyDescent="0.45">
      <c r="A500" t="s">
        <v>366</v>
      </c>
      <c r="B500" t="s">
        <v>40</v>
      </c>
      <c r="C500">
        <v>25380</v>
      </c>
      <c r="D500" t="s">
        <v>11</v>
      </c>
      <c r="E500">
        <v>17010</v>
      </c>
      <c r="F500">
        <v>0</v>
      </c>
    </row>
    <row r="501" spans="1:6" x14ac:dyDescent="0.45">
      <c r="A501" t="s">
        <v>366</v>
      </c>
      <c r="B501" t="s">
        <v>40</v>
      </c>
      <c r="C501">
        <v>26460</v>
      </c>
      <c r="D501" t="s">
        <v>12</v>
      </c>
      <c r="E501">
        <v>17750</v>
      </c>
      <c r="F501">
        <v>0</v>
      </c>
    </row>
    <row r="502" spans="1:6" x14ac:dyDescent="0.45">
      <c r="A502" t="s">
        <v>366</v>
      </c>
      <c r="B502" t="s">
        <v>40</v>
      </c>
      <c r="C502">
        <v>27540</v>
      </c>
      <c r="D502" t="s">
        <v>13</v>
      </c>
      <c r="E502">
        <v>18450</v>
      </c>
      <c r="F502">
        <v>0</v>
      </c>
    </row>
    <row r="503" spans="1:6" x14ac:dyDescent="0.45">
      <c r="A503" t="s">
        <v>366</v>
      </c>
      <c r="B503" t="s">
        <v>40</v>
      </c>
      <c r="C503">
        <v>30510</v>
      </c>
      <c r="D503" t="s">
        <v>14</v>
      </c>
      <c r="E503">
        <v>20450</v>
      </c>
      <c r="F503">
        <v>0</v>
      </c>
    </row>
    <row r="504" spans="1:6" x14ac:dyDescent="0.45">
      <c r="A504" t="s">
        <v>366</v>
      </c>
      <c r="B504" t="s">
        <v>40</v>
      </c>
      <c r="C504">
        <v>34020</v>
      </c>
      <c r="D504" t="s">
        <v>15</v>
      </c>
      <c r="E504">
        <v>22790</v>
      </c>
      <c r="F504">
        <v>0</v>
      </c>
    </row>
    <row r="505" spans="1:6" x14ac:dyDescent="0.45">
      <c r="A505" t="s">
        <v>366</v>
      </c>
      <c r="B505" t="s">
        <v>40</v>
      </c>
      <c r="C505">
        <v>36990</v>
      </c>
      <c r="D505" t="s">
        <v>16</v>
      </c>
      <c r="E505">
        <v>24800</v>
      </c>
      <c r="F505">
        <v>0</v>
      </c>
    </row>
    <row r="506" spans="1:6" x14ac:dyDescent="0.45">
      <c r="A506" t="s">
        <v>366</v>
      </c>
      <c r="B506" t="s">
        <v>40</v>
      </c>
      <c r="C506">
        <v>45360</v>
      </c>
      <c r="D506" t="s">
        <v>17</v>
      </c>
      <c r="E506">
        <v>30420</v>
      </c>
      <c r="F506">
        <v>0</v>
      </c>
    </row>
    <row r="507" spans="1:6" x14ac:dyDescent="0.45">
      <c r="A507" t="s">
        <v>366</v>
      </c>
      <c r="B507" t="s">
        <v>40</v>
      </c>
      <c r="C507">
        <v>52920</v>
      </c>
      <c r="D507" t="s">
        <v>19</v>
      </c>
      <c r="E507">
        <v>35460</v>
      </c>
      <c r="F507">
        <v>0</v>
      </c>
    </row>
    <row r="508" spans="1:6" x14ac:dyDescent="0.45">
      <c r="A508" t="s">
        <v>366</v>
      </c>
      <c r="B508" t="s">
        <v>40</v>
      </c>
      <c r="C508">
        <v>61020</v>
      </c>
      <c r="D508" t="s">
        <v>20</v>
      </c>
      <c r="E508">
        <v>40880</v>
      </c>
      <c r="F508">
        <v>0</v>
      </c>
    </row>
    <row r="509" spans="1:6" x14ac:dyDescent="0.45">
      <c r="A509" t="s">
        <v>366</v>
      </c>
      <c r="B509" t="s">
        <v>40</v>
      </c>
      <c r="C509">
        <v>99140</v>
      </c>
      <c r="D509" t="s">
        <v>21</v>
      </c>
      <c r="E509">
        <v>66420</v>
      </c>
      <c r="F509">
        <v>1</v>
      </c>
    </row>
    <row r="510" spans="1:6" x14ac:dyDescent="0.45">
      <c r="A510" t="s">
        <v>366</v>
      </c>
      <c r="B510" t="s">
        <v>40</v>
      </c>
      <c r="C510">
        <v>126290</v>
      </c>
      <c r="D510" t="s">
        <v>22</v>
      </c>
      <c r="E510">
        <v>84620</v>
      </c>
      <c r="F510">
        <v>2</v>
      </c>
    </row>
    <row r="511" spans="1:6" x14ac:dyDescent="0.45">
      <c r="A511" t="s">
        <v>366</v>
      </c>
      <c r="B511" t="s">
        <v>40</v>
      </c>
      <c r="C511">
        <v>147830</v>
      </c>
      <c r="D511" t="s">
        <v>23</v>
      </c>
      <c r="E511">
        <v>99050</v>
      </c>
      <c r="F511">
        <v>3</v>
      </c>
    </row>
    <row r="512" spans="1:6" x14ac:dyDescent="0.45">
      <c r="A512" t="s">
        <v>367</v>
      </c>
      <c r="B512" t="s">
        <v>40</v>
      </c>
      <c r="C512">
        <v>9230</v>
      </c>
      <c r="D512" t="s">
        <v>9</v>
      </c>
      <c r="E512">
        <v>5690</v>
      </c>
      <c r="F512">
        <v>0</v>
      </c>
    </row>
    <row r="513" spans="1:6" x14ac:dyDescent="0.45">
      <c r="A513" t="s">
        <v>367</v>
      </c>
      <c r="B513" t="s">
        <v>40</v>
      </c>
      <c r="C513">
        <v>9520</v>
      </c>
      <c r="D513" t="s">
        <v>10</v>
      </c>
      <c r="E513">
        <v>5870</v>
      </c>
      <c r="F513">
        <v>0</v>
      </c>
    </row>
    <row r="514" spans="1:6" x14ac:dyDescent="0.45">
      <c r="A514" t="s">
        <v>367</v>
      </c>
      <c r="B514" t="s">
        <v>40</v>
      </c>
      <c r="C514">
        <v>10530</v>
      </c>
      <c r="D514" t="s">
        <v>11</v>
      </c>
      <c r="E514">
        <v>6530</v>
      </c>
      <c r="F514">
        <v>0</v>
      </c>
    </row>
    <row r="515" spans="1:6" x14ac:dyDescent="0.45">
      <c r="A515" t="s">
        <v>367</v>
      </c>
      <c r="B515" t="s">
        <v>40</v>
      </c>
      <c r="C515">
        <v>10940</v>
      </c>
      <c r="D515" t="s">
        <v>12</v>
      </c>
      <c r="E515">
        <v>6770</v>
      </c>
      <c r="F515">
        <v>0</v>
      </c>
    </row>
    <row r="516" spans="1:6" x14ac:dyDescent="0.45">
      <c r="A516" t="s">
        <v>367</v>
      </c>
      <c r="B516" t="s">
        <v>40</v>
      </c>
      <c r="C516">
        <v>11140</v>
      </c>
      <c r="D516" t="s">
        <v>13</v>
      </c>
      <c r="E516">
        <v>6930</v>
      </c>
      <c r="F516">
        <v>0</v>
      </c>
    </row>
    <row r="517" spans="1:6" x14ac:dyDescent="0.45">
      <c r="A517" t="s">
        <v>367</v>
      </c>
      <c r="B517" t="s">
        <v>40</v>
      </c>
      <c r="C517">
        <v>12960</v>
      </c>
      <c r="D517" t="s">
        <v>14</v>
      </c>
      <c r="E517">
        <v>8060</v>
      </c>
      <c r="F517">
        <v>0</v>
      </c>
    </row>
    <row r="518" spans="1:6" x14ac:dyDescent="0.45">
      <c r="A518" t="s">
        <v>367</v>
      </c>
      <c r="B518" t="s">
        <v>40</v>
      </c>
      <c r="C518">
        <v>14290</v>
      </c>
      <c r="D518" t="s">
        <v>15</v>
      </c>
      <c r="E518">
        <v>8840</v>
      </c>
      <c r="F518">
        <v>0</v>
      </c>
    </row>
    <row r="519" spans="1:6" x14ac:dyDescent="0.45">
      <c r="A519" t="s">
        <v>367</v>
      </c>
      <c r="B519" t="s">
        <v>40</v>
      </c>
      <c r="C519">
        <v>15590</v>
      </c>
      <c r="D519" t="s">
        <v>16</v>
      </c>
      <c r="E519">
        <v>9680</v>
      </c>
      <c r="F519">
        <v>0</v>
      </c>
    </row>
    <row r="520" spans="1:6" x14ac:dyDescent="0.45">
      <c r="A520" t="s">
        <v>367</v>
      </c>
      <c r="B520" t="s">
        <v>40</v>
      </c>
      <c r="C520">
        <v>18830</v>
      </c>
      <c r="D520" t="s">
        <v>17</v>
      </c>
      <c r="E520">
        <v>11680</v>
      </c>
      <c r="F520">
        <v>0</v>
      </c>
    </row>
    <row r="521" spans="1:6" x14ac:dyDescent="0.45">
      <c r="A521" t="s">
        <v>367</v>
      </c>
      <c r="B521" t="s">
        <v>40</v>
      </c>
      <c r="C521">
        <v>21980</v>
      </c>
      <c r="D521" t="s">
        <v>19</v>
      </c>
      <c r="E521">
        <v>13660</v>
      </c>
      <c r="F521">
        <v>0</v>
      </c>
    </row>
    <row r="522" spans="1:6" x14ac:dyDescent="0.45">
      <c r="A522" t="s">
        <v>367</v>
      </c>
      <c r="B522" t="s">
        <v>40</v>
      </c>
      <c r="C522">
        <v>25220</v>
      </c>
      <c r="D522" t="s">
        <v>20</v>
      </c>
      <c r="E522">
        <v>15680</v>
      </c>
      <c r="F522">
        <v>0</v>
      </c>
    </row>
    <row r="523" spans="1:6" x14ac:dyDescent="0.45">
      <c r="A523" t="s">
        <v>367</v>
      </c>
      <c r="B523" t="s">
        <v>40</v>
      </c>
      <c r="C523">
        <v>38680</v>
      </c>
      <c r="D523" t="s">
        <v>21</v>
      </c>
      <c r="E523">
        <v>24030</v>
      </c>
      <c r="F523">
        <v>1</v>
      </c>
    </row>
    <row r="524" spans="1:6" x14ac:dyDescent="0.45">
      <c r="A524" t="s">
        <v>367</v>
      </c>
      <c r="B524" t="s">
        <v>40</v>
      </c>
      <c r="C524">
        <v>49120</v>
      </c>
      <c r="D524" t="s">
        <v>22</v>
      </c>
      <c r="E524">
        <v>30530</v>
      </c>
      <c r="F524">
        <v>2</v>
      </c>
    </row>
    <row r="525" spans="1:6" x14ac:dyDescent="0.45">
      <c r="A525" t="s">
        <v>367</v>
      </c>
      <c r="B525" t="s">
        <v>40</v>
      </c>
      <c r="C525">
        <v>58230</v>
      </c>
      <c r="D525" t="s">
        <v>23</v>
      </c>
      <c r="E525">
        <v>36230</v>
      </c>
      <c r="F525">
        <v>3</v>
      </c>
    </row>
    <row r="526" spans="1:6" x14ac:dyDescent="0.45">
      <c r="A526" t="s">
        <v>368</v>
      </c>
      <c r="B526" t="s">
        <v>369</v>
      </c>
      <c r="D526" t="s">
        <v>370</v>
      </c>
      <c r="F526">
        <v>0</v>
      </c>
    </row>
    <row r="527" spans="1:6" x14ac:dyDescent="0.45">
      <c r="A527" t="s">
        <v>371</v>
      </c>
      <c r="B527" t="s">
        <v>369</v>
      </c>
      <c r="D527" t="s">
        <v>372</v>
      </c>
      <c r="F527">
        <v>0</v>
      </c>
    </row>
    <row r="528" spans="1:6" x14ac:dyDescent="0.45">
      <c r="A528" t="s">
        <v>373</v>
      </c>
      <c r="B528" t="s">
        <v>369</v>
      </c>
      <c r="D528" t="s">
        <v>372</v>
      </c>
      <c r="F528">
        <v>0</v>
      </c>
    </row>
    <row r="529" spans="1:6" x14ac:dyDescent="0.45">
      <c r="A529" t="s">
        <v>374</v>
      </c>
      <c r="B529" t="s">
        <v>40</v>
      </c>
      <c r="C529">
        <v>7380</v>
      </c>
      <c r="D529" t="s">
        <v>9</v>
      </c>
      <c r="E529">
        <v>4540</v>
      </c>
      <c r="F529">
        <v>0</v>
      </c>
    </row>
    <row r="530" spans="1:6" x14ac:dyDescent="0.45">
      <c r="A530" t="s">
        <v>375</v>
      </c>
      <c r="B530" t="s">
        <v>40</v>
      </c>
      <c r="C530">
        <v>7560</v>
      </c>
      <c r="D530" t="s">
        <v>10</v>
      </c>
      <c r="E530">
        <v>4680</v>
      </c>
      <c r="F530">
        <v>0</v>
      </c>
    </row>
    <row r="531" spans="1:6" x14ac:dyDescent="0.45">
      <c r="A531" t="s">
        <v>375</v>
      </c>
      <c r="B531" t="s">
        <v>40</v>
      </c>
      <c r="C531">
        <v>8280</v>
      </c>
      <c r="D531" t="s">
        <v>11</v>
      </c>
      <c r="E531">
        <v>5140</v>
      </c>
      <c r="F531">
        <v>0</v>
      </c>
    </row>
    <row r="532" spans="1:6" x14ac:dyDescent="0.45">
      <c r="A532" t="s">
        <v>375</v>
      </c>
      <c r="B532" t="s">
        <v>40</v>
      </c>
      <c r="C532">
        <v>8460</v>
      </c>
      <c r="D532" t="s">
        <v>12</v>
      </c>
      <c r="E532">
        <v>5260</v>
      </c>
      <c r="F532">
        <v>0</v>
      </c>
    </row>
    <row r="533" spans="1:6" x14ac:dyDescent="0.45">
      <c r="A533" t="s">
        <v>375</v>
      </c>
      <c r="B533" t="s">
        <v>40</v>
      </c>
      <c r="C533">
        <v>8740</v>
      </c>
      <c r="D533" t="s">
        <v>13</v>
      </c>
      <c r="E533">
        <v>5380</v>
      </c>
      <c r="F533">
        <v>0</v>
      </c>
    </row>
    <row r="534" spans="1:6" x14ac:dyDescent="0.45">
      <c r="A534" t="s">
        <v>375</v>
      </c>
      <c r="B534" t="s">
        <v>40</v>
      </c>
      <c r="C534">
        <v>10360</v>
      </c>
      <c r="D534" t="s">
        <v>14</v>
      </c>
      <c r="E534">
        <v>6400</v>
      </c>
      <c r="F534">
        <v>0</v>
      </c>
    </row>
    <row r="535" spans="1:6" x14ac:dyDescent="0.45">
      <c r="A535" t="s">
        <v>375</v>
      </c>
      <c r="B535" t="s">
        <v>40</v>
      </c>
      <c r="C535">
        <v>11260</v>
      </c>
      <c r="D535" t="s">
        <v>15</v>
      </c>
      <c r="E535">
        <v>6980</v>
      </c>
      <c r="F535">
        <v>0</v>
      </c>
    </row>
    <row r="536" spans="1:6" x14ac:dyDescent="0.45">
      <c r="A536" t="s">
        <v>375</v>
      </c>
      <c r="B536" t="s">
        <v>40</v>
      </c>
      <c r="C536">
        <v>12340</v>
      </c>
      <c r="D536" t="s">
        <v>16</v>
      </c>
      <c r="E536">
        <v>7620</v>
      </c>
      <c r="F536">
        <v>0</v>
      </c>
    </row>
    <row r="537" spans="1:6" x14ac:dyDescent="0.45">
      <c r="A537" t="s">
        <v>375</v>
      </c>
      <c r="B537" t="s">
        <v>40</v>
      </c>
      <c r="C537">
        <v>18100</v>
      </c>
      <c r="D537" t="s">
        <v>17</v>
      </c>
      <c r="E537">
        <v>11220</v>
      </c>
      <c r="F537">
        <v>0</v>
      </c>
    </row>
    <row r="538" spans="1:6" x14ac:dyDescent="0.45">
      <c r="A538" t="s">
        <v>375</v>
      </c>
      <c r="B538" t="s">
        <v>40</v>
      </c>
      <c r="C538">
        <v>21060</v>
      </c>
      <c r="D538" t="s">
        <v>19</v>
      </c>
      <c r="E538">
        <v>13100</v>
      </c>
      <c r="F538">
        <v>0</v>
      </c>
    </row>
    <row r="539" spans="1:6" x14ac:dyDescent="0.45">
      <c r="A539" t="s">
        <v>375</v>
      </c>
      <c r="B539" t="s">
        <v>40</v>
      </c>
      <c r="C539">
        <v>24040</v>
      </c>
      <c r="D539" t="s">
        <v>20</v>
      </c>
      <c r="E539">
        <v>14920</v>
      </c>
      <c r="F539">
        <v>0</v>
      </c>
    </row>
    <row r="540" spans="1:6" x14ac:dyDescent="0.45">
      <c r="A540" t="s">
        <v>375</v>
      </c>
      <c r="B540" t="s">
        <v>40</v>
      </c>
      <c r="C540">
        <v>34380</v>
      </c>
      <c r="D540" t="s">
        <v>21</v>
      </c>
      <c r="E540">
        <v>21340</v>
      </c>
      <c r="F540">
        <v>0</v>
      </c>
    </row>
    <row r="541" spans="1:6" x14ac:dyDescent="0.45">
      <c r="A541" t="s">
        <v>375</v>
      </c>
      <c r="B541" t="s">
        <v>40</v>
      </c>
      <c r="C541">
        <v>43560</v>
      </c>
      <c r="D541" t="s">
        <v>22</v>
      </c>
      <c r="E541">
        <v>27060</v>
      </c>
      <c r="F541">
        <v>0</v>
      </c>
    </row>
    <row r="542" spans="1:6" x14ac:dyDescent="0.45">
      <c r="A542" t="s">
        <v>375</v>
      </c>
      <c r="B542" t="s">
        <v>40</v>
      </c>
      <c r="C542">
        <v>53020</v>
      </c>
      <c r="D542" t="s">
        <v>23</v>
      </c>
      <c r="E542">
        <v>32940</v>
      </c>
      <c r="F542">
        <v>0</v>
      </c>
    </row>
    <row r="543" spans="1:6" x14ac:dyDescent="0.45">
      <c r="A543" t="s">
        <v>368</v>
      </c>
      <c r="B543" t="s">
        <v>369</v>
      </c>
      <c r="D543" t="s">
        <v>370</v>
      </c>
      <c r="F543">
        <v>0</v>
      </c>
    </row>
    <row r="544" spans="1:6" x14ac:dyDescent="0.45">
      <c r="A544" t="s">
        <v>376</v>
      </c>
      <c r="B544" t="s">
        <v>369</v>
      </c>
      <c r="D544" t="s">
        <v>372</v>
      </c>
      <c r="F544">
        <v>0</v>
      </c>
    </row>
    <row r="545" spans="1:6" x14ac:dyDescent="0.45">
      <c r="A545" t="s">
        <v>373</v>
      </c>
      <c r="B545" t="s">
        <v>369</v>
      </c>
      <c r="D545" t="s">
        <v>372</v>
      </c>
      <c r="F545">
        <v>0</v>
      </c>
    </row>
    <row r="546" spans="1:6" x14ac:dyDescent="0.45">
      <c r="A546" t="s">
        <v>377</v>
      </c>
      <c r="B546" t="s">
        <v>378</v>
      </c>
      <c r="C546">
        <v>370</v>
      </c>
      <c r="D546" t="s">
        <v>9</v>
      </c>
      <c r="E546">
        <v>280</v>
      </c>
      <c r="F546">
        <v>0.04</v>
      </c>
    </row>
    <row r="547" spans="1:6" x14ac:dyDescent="0.45">
      <c r="A547" t="s">
        <v>377</v>
      </c>
      <c r="B547" t="s">
        <v>378</v>
      </c>
      <c r="C547">
        <v>390</v>
      </c>
      <c r="D547" t="s">
        <v>10</v>
      </c>
      <c r="E547">
        <v>290</v>
      </c>
      <c r="F547">
        <v>0.04</v>
      </c>
    </row>
    <row r="548" spans="1:6" x14ac:dyDescent="0.45">
      <c r="A548" t="s">
        <v>377</v>
      </c>
      <c r="B548" t="s">
        <v>378</v>
      </c>
      <c r="C548">
        <v>470</v>
      </c>
      <c r="D548" t="s">
        <v>11</v>
      </c>
      <c r="E548">
        <v>350</v>
      </c>
      <c r="F548">
        <v>0.05</v>
      </c>
    </row>
    <row r="549" spans="1:6" x14ac:dyDescent="0.45">
      <c r="A549" t="s">
        <v>377</v>
      </c>
      <c r="B549" t="s">
        <v>378</v>
      </c>
      <c r="C549">
        <v>600</v>
      </c>
      <c r="D549" t="s">
        <v>12</v>
      </c>
      <c r="E549">
        <v>450</v>
      </c>
      <c r="F549">
        <v>0.05</v>
      </c>
    </row>
    <row r="550" spans="1:6" x14ac:dyDescent="0.45">
      <c r="A550" t="s">
        <v>377</v>
      </c>
      <c r="B550" t="s">
        <v>378</v>
      </c>
      <c r="C550">
        <v>680</v>
      </c>
      <c r="D550" t="s">
        <v>13</v>
      </c>
      <c r="E550">
        <v>510</v>
      </c>
      <c r="F550">
        <v>0.06</v>
      </c>
    </row>
    <row r="551" spans="1:6" x14ac:dyDescent="0.45">
      <c r="A551" t="s">
        <v>377</v>
      </c>
      <c r="B551" t="s">
        <v>378</v>
      </c>
      <c r="C551">
        <v>760</v>
      </c>
      <c r="D551" t="s">
        <v>14</v>
      </c>
      <c r="E551">
        <v>570</v>
      </c>
      <c r="F551">
        <v>0.06</v>
      </c>
    </row>
    <row r="552" spans="1:6" x14ac:dyDescent="0.45">
      <c r="A552" t="s">
        <v>377</v>
      </c>
      <c r="B552" t="s">
        <v>378</v>
      </c>
      <c r="C552">
        <v>970</v>
      </c>
      <c r="D552" t="s">
        <v>15</v>
      </c>
      <c r="E552">
        <v>730</v>
      </c>
      <c r="F552">
        <v>0.08</v>
      </c>
    </row>
    <row r="553" spans="1:6" x14ac:dyDescent="0.45">
      <c r="A553" t="s">
        <v>377</v>
      </c>
      <c r="B553" t="s">
        <v>378</v>
      </c>
      <c r="C553">
        <v>1180</v>
      </c>
      <c r="D553" t="s">
        <v>16</v>
      </c>
      <c r="E553">
        <v>890</v>
      </c>
      <c r="F553">
        <v>0.08</v>
      </c>
    </row>
    <row r="554" spans="1:6" x14ac:dyDescent="0.45">
      <c r="A554" t="s">
        <v>377</v>
      </c>
      <c r="B554" t="s">
        <v>378</v>
      </c>
      <c r="C554">
        <v>1450</v>
      </c>
      <c r="D554" t="s">
        <v>17</v>
      </c>
      <c r="E554">
        <v>1090</v>
      </c>
      <c r="F554">
        <v>0.1</v>
      </c>
    </row>
    <row r="555" spans="1:6" x14ac:dyDescent="0.45">
      <c r="A555" t="s">
        <v>377</v>
      </c>
      <c r="B555" t="s">
        <v>378</v>
      </c>
      <c r="C555">
        <v>2070</v>
      </c>
      <c r="D555" t="s">
        <v>19</v>
      </c>
      <c r="E555">
        <v>1550</v>
      </c>
      <c r="F555">
        <v>0.12</v>
      </c>
    </row>
    <row r="556" spans="1:6" x14ac:dyDescent="0.45">
      <c r="A556" t="s">
        <v>379</v>
      </c>
      <c r="B556" t="s">
        <v>378</v>
      </c>
      <c r="C556">
        <v>770</v>
      </c>
      <c r="D556" t="s">
        <v>9</v>
      </c>
      <c r="E556">
        <v>650</v>
      </c>
      <c r="F556">
        <v>0.02</v>
      </c>
    </row>
    <row r="557" spans="1:6" x14ac:dyDescent="0.45">
      <c r="A557" t="s">
        <v>379</v>
      </c>
      <c r="B557" t="s">
        <v>378</v>
      </c>
      <c r="C557">
        <v>820</v>
      </c>
      <c r="D557" t="s">
        <v>10</v>
      </c>
      <c r="E557">
        <v>700</v>
      </c>
      <c r="F557">
        <v>0.02</v>
      </c>
    </row>
    <row r="558" spans="1:6" x14ac:dyDescent="0.45">
      <c r="A558" t="s">
        <v>379</v>
      </c>
      <c r="B558" t="s">
        <v>378</v>
      </c>
      <c r="C558">
        <v>870</v>
      </c>
      <c r="D558" t="s">
        <v>11</v>
      </c>
      <c r="E558">
        <v>740</v>
      </c>
      <c r="F558">
        <v>0.03</v>
      </c>
    </row>
    <row r="559" spans="1:6" x14ac:dyDescent="0.45">
      <c r="A559" t="s">
        <v>379</v>
      </c>
      <c r="B559" t="s">
        <v>378</v>
      </c>
      <c r="C559">
        <v>930</v>
      </c>
      <c r="D559" t="s">
        <v>12</v>
      </c>
      <c r="E559">
        <v>790</v>
      </c>
      <c r="F559">
        <v>0.03</v>
      </c>
    </row>
    <row r="560" spans="1:6" x14ac:dyDescent="0.45">
      <c r="A560" t="s">
        <v>379</v>
      </c>
      <c r="B560" t="s">
        <v>378</v>
      </c>
      <c r="C560">
        <v>1040</v>
      </c>
      <c r="D560" t="s">
        <v>13</v>
      </c>
      <c r="E560">
        <v>880</v>
      </c>
      <c r="F560">
        <v>0.04</v>
      </c>
    </row>
    <row r="561" spans="1:6" x14ac:dyDescent="0.45">
      <c r="A561" t="s">
        <v>379</v>
      </c>
      <c r="B561" t="s">
        <v>378</v>
      </c>
      <c r="C561">
        <v>1140</v>
      </c>
      <c r="D561" t="s">
        <v>14</v>
      </c>
      <c r="E561">
        <v>970</v>
      </c>
      <c r="F561">
        <v>0.04</v>
      </c>
    </row>
    <row r="562" spans="1:6" x14ac:dyDescent="0.45">
      <c r="A562" t="s">
        <v>379</v>
      </c>
      <c r="B562" t="s">
        <v>378</v>
      </c>
      <c r="C562">
        <v>1240</v>
      </c>
      <c r="D562" t="s">
        <v>15</v>
      </c>
      <c r="E562">
        <v>1050</v>
      </c>
      <c r="F562">
        <v>0.05</v>
      </c>
    </row>
    <row r="563" spans="1:6" x14ac:dyDescent="0.45">
      <c r="A563" t="s">
        <v>379</v>
      </c>
      <c r="B563" t="s">
        <v>378</v>
      </c>
      <c r="C563">
        <v>1460</v>
      </c>
      <c r="D563" t="s">
        <v>16</v>
      </c>
      <c r="E563">
        <v>1240</v>
      </c>
      <c r="F563">
        <v>0.05</v>
      </c>
    </row>
    <row r="564" spans="1:6" x14ac:dyDescent="0.45">
      <c r="A564" t="s">
        <v>368</v>
      </c>
      <c r="B564" t="s">
        <v>369</v>
      </c>
      <c r="C564">
        <v>46500</v>
      </c>
      <c r="D564" t="s">
        <v>370</v>
      </c>
      <c r="E564">
        <v>37200</v>
      </c>
      <c r="F564">
        <v>0</v>
      </c>
    </row>
    <row r="565" spans="1:6" x14ac:dyDescent="0.45">
      <c r="A565" t="s">
        <v>376</v>
      </c>
      <c r="B565" t="s">
        <v>369</v>
      </c>
      <c r="C565">
        <v>50000</v>
      </c>
      <c r="D565" t="s">
        <v>372</v>
      </c>
      <c r="E565">
        <v>40000</v>
      </c>
      <c r="F565">
        <v>0</v>
      </c>
    </row>
    <row r="566" spans="1:6" x14ac:dyDescent="0.45">
      <c r="A566" t="s">
        <v>373</v>
      </c>
      <c r="B566" t="s">
        <v>369</v>
      </c>
      <c r="C566">
        <v>50000</v>
      </c>
      <c r="D566" t="s">
        <v>372</v>
      </c>
      <c r="E566">
        <v>40000</v>
      </c>
      <c r="F566">
        <v>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Yoshida Yuji</cp:lastModifiedBy>
  <dcterms:created xsi:type="dcterms:W3CDTF">2026-04-09T04:51:17Z</dcterms:created>
  <dcterms:modified xsi:type="dcterms:W3CDTF">2026-04-09T04:56:18Z</dcterms:modified>
</cp:coreProperties>
</file>